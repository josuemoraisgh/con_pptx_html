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fubr-my.sharepoint.com/personal/josue_ufu_br/Documents/Josue/02 AulasUFU/02 Aulas_ININD2/Teorica/ININDII08_Compensação de Vasão e Densidade/"/>
    </mc:Choice>
  </mc:AlternateContent>
  <xr:revisionPtr revIDLastSave="3" documentId="11_F25DC773A252ABDACC1048CAB99C79B65BDE58EE" xr6:coauthVersionLast="47" xr6:coauthVersionMax="47" xr10:uidLastSave="{7FC8AC47-08AE-4A3B-A6A9-0C9955F111DF}"/>
  <bookViews>
    <workbookView xWindow="-108" yWindow="-108" windowWidth="23256" windowHeight="12456" xr2:uid="{00000000-000D-0000-FFFF-FFFF00000000}"/>
  </bookViews>
  <sheets>
    <sheet name="PTC-LC70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2" l="1"/>
  <c r="E45" i="2" s="1"/>
  <c r="E51" i="2" s="1"/>
  <c r="E57" i="2" s="1"/>
  <c r="C44" i="2"/>
  <c r="F45" i="2" s="1"/>
  <c r="F51" i="2" s="1"/>
  <c r="F57" i="2" s="1"/>
  <c r="B34" i="2"/>
  <c r="E34" i="2" s="1"/>
  <c r="E50" i="2" s="1"/>
  <c r="E56" i="2" s="1"/>
  <c r="C33" i="2"/>
  <c r="F34" i="2" s="1"/>
  <c r="F50" i="2" s="1"/>
  <c r="F56" i="2" s="1"/>
  <c r="D22" i="2"/>
  <c r="G50" i="2" s="1"/>
  <c r="R16" i="2"/>
  <c r="R15" i="2"/>
  <c r="O15" i="2"/>
  <c r="O19" i="2" s="1"/>
  <c r="O22" i="2" s="1"/>
  <c r="P35" i="2" l="1"/>
  <c r="Q15" i="2"/>
  <c r="P39" i="2"/>
  <c r="P15" i="2"/>
  <c r="Q16" i="2"/>
  <c r="P37" i="2"/>
  <c r="P41" i="2"/>
  <c r="P16" i="2"/>
  <c r="P20" i="2" l="1"/>
  <c r="P19" i="2"/>
  <c r="P22" i="2" s="1"/>
  <c r="O24" i="2" s="1"/>
  <c r="K21" i="2" s="1"/>
</calcChain>
</file>

<file path=xl/sharedStrings.xml><?xml version="1.0" encoding="utf-8"?>
<sst xmlns="http://schemas.openxmlformats.org/spreadsheetml/2006/main" count="59" uniqueCount="47">
  <si>
    <t>Cálculo de Vazão Compensada pela Temperatura e Pressão</t>
  </si>
  <si>
    <t>Dados de Projeto:</t>
  </si>
  <si>
    <t>Dados dos Transmissores:</t>
  </si>
  <si>
    <t>Temperatura:</t>
  </si>
  <si>
    <t>Pressão:</t>
  </si>
  <si>
    <t>Vazão de Vapor:</t>
  </si>
  <si>
    <t>ton/h</t>
  </si>
  <si>
    <t>LiLo</t>
  </si>
  <si>
    <t>°C</t>
  </si>
  <si>
    <t>kgf/cm²</t>
  </si>
  <si>
    <t>LiHi</t>
  </si>
  <si>
    <t>Equação para gases:</t>
  </si>
  <si>
    <t>Vazão</t>
  </si>
  <si>
    <t>Temperatura</t>
  </si>
  <si>
    <t>Pressão</t>
  </si>
  <si>
    <t>Qc = Vazão Compensada</t>
  </si>
  <si>
    <t>Q = Vazão lida (não compensada)</t>
  </si>
  <si>
    <t xml:space="preserve">P = Pressão Absoluta, em UE </t>
  </si>
  <si>
    <t xml:space="preserve">T = Temperatura absoluta, em UE </t>
  </si>
  <si>
    <t>A,B e C = Coeficientes para correção do fator de compressibilidade (Z)</t>
  </si>
  <si>
    <t>Para gases ideais: A= 0 , B= 0 , C= 1</t>
  </si>
  <si>
    <t>K = Constante que define as condições de projeto do elemento primário</t>
  </si>
  <si>
    <t>Qc=</t>
  </si>
  <si>
    <t>é calculado por (absolutos):</t>
  </si>
  <si>
    <t>=</t>
  </si>
  <si>
    <t>Vazão Compensada</t>
  </si>
  <si>
    <t>Como as entradas do bloco são em porcentagem e os sinais dos transmissores</t>
  </si>
  <si>
    <t>raramente são em unidades absolutas, o bloco transforma todas as medidas</t>
  </si>
  <si>
    <t>em unidades absolutas, de acordo com as expressões:</t>
  </si>
  <si>
    <t>Estes cálculos foram validados</t>
  </si>
  <si>
    <t>no projeto da Caldeira Caçu.</t>
  </si>
  <si>
    <t>No caso do LC700 dividir por 10000</t>
  </si>
  <si>
    <t>Detalhes na OS 2008-03402</t>
  </si>
  <si>
    <r>
      <t xml:space="preserve">onde </t>
    </r>
    <r>
      <rPr>
        <i/>
        <sz val="11"/>
        <color indexed="8"/>
        <rFont val="Calibri"/>
        <family val="2"/>
      </rPr>
      <t>P</t>
    </r>
    <r>
      <rPr>
        <i/>
        <vertAlign val="subscript"/>
        <sz val="11"/>
        <color indexed="8"/>
        <rFont val="Calibri"/>
        <family val="2"/>
      </rPr>
      <t>0</t>
    </r>
    <r>
      <rPr>
        <sz val="11"/>
        <color theme="1"/>
        <rFont val="Calibri"/>
        <family val="2"/>
        <scheme val="minor"/>
      </rPr>
      <t xml:space="preserve"> é o valor correspondente a 0% do transmissor em pressão absoluta</t>
    </r>
  </si>
  <si>
    <t>se a faixa do transmissor for igual a ZERO temos que a pressão absoluta:</t>
  </si>
  <si>
    <r>
      <t>P</t>
    </r>
    <r>
      <rPr>
        <i/>
        <vertAlign val="subscript"/>
        <sz val="11"/>
        <color indexed="8"/>
        <rFont val="Calibri"/>
        <family val="2"/>
      </rPr>
      <t>0</t>
    </r>
    <r>
      <rPr>
        <i/>
        <sz val="11"/>
        <color indexed="8"/>
        <rFont val="Calibri"/>
        <family val="2"/>
      </rPr>
      <t>=</t>
    </r>
    <r>
      <rPr>
        <sz val="11"/>
        <color theme="1"/>
        <rFont val="Calibri"/>
        <family val="2"/>
        <scheme val="minor"/>
      </rPr>
      <t xml:space="preserve">0+1,013 = 1,013. </t>
    </r>
  </si>
  <si>
    <t xml:space="preserve"> Neste caso temos -&gt; </t>
  </si>
  <si>
    <t>RCT.1.O.1</t>
  </si>
  <si>
    <t>RCT.1.O.2</t>
  </si>
  <si>
    <t>e,</t>
  </si>
  <si>
    <t>RCT.1.O.3</t>
  </si>
  <si>
    <r>
      <t xml:space="preserve">onde </t>
    </r>
    <r>
      <rPr>
        <i/>
        <sz val="11"/>
        <color indexed="8"/>
        <rFont val="Calibri"/>
        <family val="2"/>
      </rPr>
      <t>T</t>
    </r>
    <r>
      <rPr>
        <i/>
        <vertAlign val="subscript"/>
        <sz val="11"/>
        <color indexed="8"/>
        <rFont val="Calibri"/>
        <family val="2"/>
      </rPr>
      <t>0</t>
    </r>
    <r>
      <rPr>
        <sz val="11"/>
        <color theme="1"/>
        <rFont val="Calibri"/>
        <family val="2"/>
        <scheme val="minor"/>
      </rPr>
      <t xml:space="preserve"> é o valor correspondente a 0% do transmissor em temperatura absoluta</t>
    </r>
  </si>
  <si>
    <t>RCT.2.O.1</t>
  </si>
  <si>
    <t>se a faixa do transmissor for igual a ZERO temos que a temperatura absoluta:</t>
  </si>
  <si>
    <r>
      <t>T</t>
    </r>
    <r>
      <rPr>
        <i/>
        <vertAlign val="subscript"/>
        <sz val="11"/>
        <color indexed="8"/>
        <rFont val="Calibri"/>
        <family val="2"/>
      </rPr>
      <t>0</t>
    </r>
    <r>
      <rPr>
        <i/>
        <sz val="11"/>
        <color indexed="8"/>
        <rFont val="Calibri"/>
        <family val="2"/>
      </rPr>
      <t>=</t>
    </r>
    <r>
      <rPr>
        <sz val="11"/>
        <color theme="1"/>
        <rFont val="Calibri"/>
        <family val="2"/>
        <scheme val="minor"/>
      </rPr>
      <t xml:space="preserve">0+273,15 = 273,15. </t>
    </r>
  </si>
  <si>
    <t>Substituindo na equação dos Gases, temos:</t>
  </si>
  <si>
    <t>A compensação será feita pela seguinte equação: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</si>
</sst>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2"/>
      <name val="Calibri"/>
      <family val="2"/>
    </font>
    <font>
      <sz val="11"/>
      <color indexed="12"/>
      <name val="Calibri"/>
      <family val="2"/>
    </font>
    <font>
      <i/>
      <sz val="12"/>
      <color indexed="8"/>
      <name val="Bell MT"/>
      <family val="1"/>
    </font>
    <font>
      <b/>
      <sz val="10"/>
      <color indexed="8"/>
      <name val="Calibri"/>
      <family val="2"/>
    </font>
    <font>
      <i/>
      <sz val="11"/>
      <color indexed="8"/>
      <name val="Calibri"/>
      <family val="2"/>
    </font>
    <font>
      <i/>
      <vertAlign val="subscript"/>
      <sz val="11"/>
      <color indexed="8"/>
      <name val="Calibri"/>
      <family val="2"/>
    </font>
    <font>
      <sz val="8"/>
      <color indexed="17"/>
      <name val="Arial"/>
      <family val="2"/>
    </font>
    <font>
      <b/>
      <sz val="11"/>
      <color indexed="1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0" fillId="3" borderId="0" xfId="0" applyFill="1" applyProtection="1">
      <protection hidden="1"/>
    </xf>
    <xf numFmtId="0" fontId="2" fillId="2" borderId="0" xfId="0" applyFont="1" applyFill="1" applyProtection="1">
      <protection hidden="1"/>
    </xf>
    <xf numFmtId="0" fontId="2" fillId="3" borderId="0" xfId="0" applyFont="1" applyFill="1" applyAlignment="1" applyProtection="1">
      <alignment horizontal="left"/>
      <protection hidden="1"/>
    </xf>
    <xf numFmtId="0" fontId="0" fillId="3" borderId="0" xfId="0" applyFill="1" applyAlignment="1" applyProtection="1">
      <alignment horizontal="right"/>
      <protection hidden="1"/>
    </xf>
    <xf numFmtId="0" fontId="3" fillId="2" borderId="1" xfId="0" applyFont="1" applyFill="1" applyBorder="1" applyProtection="1">
      <protection locked="0"/>
    </xf>
    <xf numFmtId="0" fontId="0" fillId="2" borderId="2" xfId="0" applyFill="1" applyBorder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0" fontId="3" fillId="3" borderId="1" xfId="0" applyFont="1" applyFill="1" applyBorder="1" applyProtection="1">
      <protection locked="0"/>
    </xf>
    <xf numFmtId="0" fontId="0" fillId="3" borderId="2" xfId="0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3" borderId="0" xfId="0" applyFont="1" applyFill="1" applyAlignment="1" applyProtection="1">
      <alignment horizontal="center"/>
      <protection hidden="1"/>
    </xf>
    <xf numFmtId="0" fontId="3" fillId="3" borderId="3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Protection="1">
      <protection locked="0"/>
    </xf>
    <xf numFmtId="0" fontId="5" fillId="3" borderId="0" xfId="0" applyFont="1" applyFill="1" applyAlignment="1" applyProtection="1">
      <alignment horizontal="center"/>
      <protection hidden="1"/>
    </xf>
    <xf numFmtId="164" fontId="5" fillId="3" borderId="0" xfId="0" applyNumberFormat="1" applyFont="1" applyFill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left"/>
      <protection hidden="1"/>
    </xf>
    <xf numFmtId="0" fontId="5" fillId="3" borderId="0" xfId="0" applyFont="1" applyFill="1" applyProtection="1">
      <protection hidden="1"/>
    </xf>
    <xf numFmtId="2" fontId="5" fillId="3" borderId="0" xfId="0" applyNumberFormat="1" applyFont="1" applyFill="1" applyAlignment="1" applyProtection="1">
      <alignment horizontal="center"/>
      <protection hidden="1"/>
    </xf>
    <xf numFmtId="0" fontId="6" fillId="3" borderId="0" xfId="0" applyFont="1" applyFill="1" applyAlignment="1" applyProtection="1">
      <alignment horizontal="right"/>
      <protection hidden="1"/>
    </xf>
    <xf numFmtId="164" fontId="5" fillId="3" borderId="3" xfId="0" applyNumberFormat="1" applyFont="1" applyFill="1" applyBorder="1" applyProtection="1">
      <protection hidden="1"/>
    </xf>
    <xf numFmtId="0" fontId="0" fillId="2" borderId="0" xfId="0" applyFill="1" applyAlignment="1" applyProtection="1">
      <alignment horizontal="right"/>
      <protection hidden="1"/>
    </xf>
    <xf numFmtId="0" fontId="5" fillId="2" borderId="3" xfId="0" applyFont="1" applyFill="1" applyBorder="1" applyAlignment="1" applyProtection="1">
      <alignment horizontal="center"/>
      <protection hidden="1"/>
    </xf>
    <xf numFmtId="0" fontId="5" fillId="2" borderId="0" xfId="0" applyFont="1" applyFill="1" applyAlignment="1" applyProtection="1">
      <alignment horizontal="center"/>
      <protection hidden="1"/>
    </xf>
    <xf numFmtId="0" fontId="4" fillId="3" borderId="0" xfId="0" applyFont="1" applyFill="1" applyAlignment="1" applyProtection="1">
      <alignment horizontal="center"/>
      <protection hidden="1"/>
    </xf>
    <xf numFmtId="0" fontId="3" fillId="3" borderId="0" xfId="0" applyFont="1" applyFill="1" applyProtection="1">
      <protection hidden="1"/>
    </xf>
    <xf numFmtId="0" fontId="7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164" fontId="5" fillId="2" borderId="0" xfId="0" applyNumberFormat="1" applyFont="1" applyFill="1" applyProtection="1">
      <protection hidden="1"/>
    </xf>
    <xf numFmtId="0" fontId="5" fillId="2" borderId="0" xfId="0" applyFont="1" applyFill="1" applyProtection="1">
      <protection hidden="1"/>
    </xf>
    <xf numFmtId="0" fontId="10" fillId="3" borderId="0" xfId="0" applyFont="1" applyFill="1" applyProtection="1">
      <protection hidden="1"/>
    </xf>
    <xf numFmtId="164" fontId="11" fillId="3" borderId="4" xfId="0" applyNumberFormat="1" applyFont="1" applyFill="1" applyBorder="1" applyProtection="1">
      <protection hidden="1"/>
    </xf>
    <xf numFmtId="0" fontId="11" fillId="3" borderId="4" xfId="0" applyFont="1" applyFill="1" applyBorder="1" applyProtection="1">
      <protection hidden="1"/>
    </xf>
    <xf numFmtId="2" fontId="11" fillId="3" borderId="4" xfId="0" applyNumberFormat="1" applyFont="1" applyFill="1" applyBorder="1" applyProtection="1">
      <protection hidden="1"/>
    </xf>
    <xf numFmtId="0" fontId="5" fillId="2" borderId="0" xfId="0" applyFont="1" applyFill="1" applyAlignment="1" applyProtection="1">
      <alignment horizontal="left"/>
      <protection hidden="1"/>
    </xf>
    <xf numFmtId="165" fontId="5" fillId="2" borderId="0" xfId="0" applyNumberFormat="1" applyFont="1" applyFill="1" applyAlignment="1" applyProtection="1">
      <alignment horizontal="right"/>
      <protection hidden="1"/>
    </xf>
    <xf numFmtId="164" fontId="5" fillId="2" borderId="0" xfId="0" applyNumberFormat="1" applyFont="1" applyFill="1" applyAlignment="1" applyProtection="1">
      <alignment horizontal="center"/>
      <protection hidden="1"/>
    </xf>
    <xf numFmtId="2" fontId="5" fillId="2" borderId="0" xfId="0" applyNumberFormat="1" applyFont="1" applyFill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jpeg"/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e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213360</xdr:colOff>
      <xdr:row>6</xdr:row>
      <xdr:rowOff>114300</xdr:rowOff>
    </xdr:from>
    <xdr:to>
      <xdr:col>11</xdr:col>
      <xdr:colOff>1905</xdr:colOff>
      <xdr:row>8</xdr:row>
      <xdr:rowOff>110490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4BAFEE01-9AE2-4348-A4C8-8B21864D7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1257300"/>
          <a:ext cx="6572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312420</xdr:colOff>
      <xdr:row>5</xdr:row>
      <xdr:rowOff>160020</xdr:rowOff>
    </xdr:from>
    <xdr:to>
      <xdr:col>12</xdr:col>
      <xdr:colOff>807720</xdr:colOff>
      <xdr:row>9</xdr:row>
      <xdr:rowOff>30480</xdr:rowOff>
    </xdr:to>
    <xdr:pic>
      <xdr:nvPicPr>
        <xdr:cNvPr id="3" name="Picture 7">
          <a:extLst>
            <a:ext uri="{FF2B5EF4-FFF2-40B4-BE49-F238E27FC236}">
              <a16:creationId xmlns:a16="http://schemas.microsoft.com/office/drawing/2014/main" id="{9E35B377-2A72-406E-9915-DE9AA36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114425"/>
          <a:ext cx="4953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13</xdr:row>
      <xdr:rowOff>45720</xdr:rowOff>
    </xdr:from>
    <xdr:to>
      <xdr:col>11</xdr:col>
      <xdr:colOff>26637</xdr:colOff>
      <xdr:row>17</xdr:row>
      <xdr:rowOff>156140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373094DB-19AB-4543-A34B-BCB566004463}"/>
            </a:ext>
          </a:extLst>
        </xdr:cNvPr>
        <xdr:cNvSpPr/>
      </xdr:nvSpPr>
      <xdr:spPr>
        <a:xfrm>
          <a:off x="6905625" y="2476500"/>
          <a:ext cx="889602" cy="832415"/>
        </a:xfrm>
        <a:prstGeom prst="ellipse">
          <a:avLst/>
        </a:prstGeom>
        <a:solidFill>
          <a:srgbClr val="FFFF00"/>
        </a:solidFill>
        <a:ln>
          <a:solidFill>
            <a:schemeClr val="tx1"/>
          </a:solidFill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 b="1" i="1">
              <a:solidFill>
                <a:schemeClr val="tx1"/>
              </a:solidFill>
            </a:rPr>
            <a:t>PTC</a:t>
          </a:r>
        </a:p>
      </xdr:txBody>
    </xdr:sp>
    <xdr:clientData/>
  </xdr:twoCellAnchor>
  <xdr:twoCellAnchor editAs="oneCell">
    <xdr:from>
      <xdr:col>8</xdr:col>
      <xdr:colOff>571500</xdr:colOff>
      <xdr:row>5</xdr:row>
      <xdr:rowOff>160020</xdr:rowOff>
    </xdr:from>
    <xdr:to>
      <xdr:col>8</xdr:col>
      <xdr:colOff>1066800</xdr:colOff>
      <xdr:row>9</xdr:row>
      <xdr:rowOff>30480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E394F1E1-538B-4D00-88B5-294B9E88B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114425"/>
          <a:ext cx="4953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558165</xdr:colOff>
      <xdr:row>10</xdr:row>
      <xdr:rowOff>190499</xdr:rowOff>
    </xdr:from>
    <xdr:to>
      <xdr:col>10</xdr:col>
      <xdr:colOff>560547</xdr:colOff>
      <xdr:row>13</xdr:row>
      <xdr:rowOff>45719</xdr:rowOff>
    </xdr:to>
    <xdr:cxnSp macro="">
      <xdr:nvCxnSpPr>
        <xdr:cNvPr id="6" name="Conector de seta reta 14">
          <a:extLst>
            <a:ext uri="{FF2B5EF4-FFF2-40B4-BE49-F238E27FC236}">
              <a16:creationId xmlns:a16="http://schemas.microsoft.com/office/drawing/2014/main" id="{F72D044E-5932-4BFF-9E1D-E0F18F758564}"/>
            </a:ext>
          </a:extLst>
        </xdr:cNvPr>
        <xdr:cNvCxnSpPr>
          <a:endCxn id="4" idx="0"/>
        </xdr:cNvCxnSpPr>
      </xdr:nvCxnSpPr>
      <xdr:spPr>
        <a:xfrm rot="16200000" flipH="1">
          <a:off x="7257336" y="2269568"/>
          <a:ext cx="409575" cy="42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26671</xdr:colOff>
      <xdr:row>11</xdr:row>
      <xdr:rowOff>0</xdr:rowOff>
    </xdr:from>
    <xdr:to>
      <xdr:col>12</xdr:col>
      <xdr:colOff>461011</xdr:colOff>
      <xdr:row>15</xdr:row>
      <xdr:rowOff>108639</xdr:rowOff>
    </xdr:to>
    <xdr:cxnSp macro="">
      <xdr:nvCxnSpPr>
        <xdr:cNvPr id="7" name="Conector angulado 17">
          <a:extLst>
            <a:ext uri="{FF2B5EF4-FFF2-40B4-BE49-F238E27FC236}">
              <a16:creationId xmlns:a16="http://schemas.microsoft.com/office/drawing/2014/main" id="{A993AD1F-221D-4739-BB9F-3F03BF3B0DF9}"/>
            </a:ext>
          </a:extLst>
        </xdr:cNvPr>
        <xdr:cNvCxnSpPr>
          <a:endCxn id="4" idx="6"/>
        </xdr:cNvCxnSpPr>
      </xdr:nvCxnSpPr>
      <xdr:spPr>
        <a:xfrm rot="10800000" flipV="1">
          <a:off x="7797166" y="2066925"/>
          <a:ext cx="800100" cy="830634"/>
        </a:xfrm>
        <a:prstGeom prst="bentConnector3">
          <a:avLst>
            <a:gd name="adj1" fmla="val 55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803910</xdr:colOff>
      <xdr:row>11</xdr:row>
      <xdr:rowOff>0</xdr:rowOff>
    </xdr:from>
    <xdr:to>
      <xdr:col>9</xdr:col>
      <xdr:colOff>304165</xdr:colOff>
      <xdr:row>15</xdr:row>
      <xdr:rowOff>108638</xdr:rowOff>
    </xdr:to>
    <xdr:cxnSp macro="">
      <xdr:nvCxnSpPr>
        <xdr:cNvPr id="8" name="Conector angulado 24">
          <a:extLst>
            <a:ext uri="{FF2B5EF4-FFF2-40B4-BE49-F238E27FC236}">
              <a16:creationId xmlns:a16="http://schemas.microsoft.com/office/drawing/2014/main" id="{D27DF4F4-F9E5-4756-A9A0-788A4FE1397D}"/>
            </a:ext>
          </a:extLst>
        </xdr:cNvPr>
        <xdr:cNvCxnSpPr>
          <a:endCxn id="4" idx="2"/>
        </xdr:cNvCxnSpPr>
      </xdr:nvCxnSpPr>
      <xdr:spPr>
        <a:xfrm>
          <a:off x="6025515" y="2066925"/>
          <a:ext cx="879475" cy="830633"/>
        </a:xfrm>
        <a:prstGeom prst="bentConnector3">
          <a:avLst>
            <a:gd name="adj1" fmla="val -943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559276</xdr:colOff>
      <xdr:row>17</xdr:row>
      <xdr:rowOff>157004</xdr:rowOff>
    </xdr:from>
    <xdr:to>
      <xdr:col>10</xdr:col>
      <xdr:colOff>560864</xdr:colOff>
      <xdr:row>20</xdr:row>
      <xdr:rowOff>10024</xdr:rowOff>
    </xdr:to>
    <xdr:cxnSp macro="">
      <xdr:nvCxnSpPr>
        <xdr:cNvPr id="9" name="Conector de seta reta 30">
          <a:extLst>
            <a:ext uri="{FF2B5EF4-FFF2-40B4-BE49-F238E27FC236}">
              <a16:creationId xmlns:a16="http://schemas.microsoft.com/office/drawing/2014/main" id="{0785C6BB-F2C3-41B0-A8B0-A031613A67BC}"/>
            </a:ext>
          </a:extLst>
        </xdr:cNvPr>
        <xdr:cNvCxnSpPr/>
      </xdr:nvCxnSpPr>
      <xdr:spPr>
        <a:xfrm rot="5400000">
          <a:off x="7250578" y="3522197"/>
          <a:ext cx="424520" cy="34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569595</xdr:colOff>
      <xdr:row>19</xdr:row>
      <xdr:rowOff>62864</xdr:rowOff>
    </xdr:from>
    <xdr:to>
      <xdr:col>14</xdr:col>
      <xdr:colOff>569595</xdr:colOff>
      <xdr:row>19</xdr:row>
      <xdr:rowOff>186689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31045FD7-D84F-451E-9BDD-E72BD191C6ED}"/>
            </a:ext>
          </a:extLst>
        </xdr:cNvPr>
        <xdr:cNvCxnSpPr/>
      </xdr:nvCxnSpPr>
      <xdr:spPr>
        <a:xfrm rot="16200000" flipH="1">
          <a:off x="10184130" y="3655694"/>
          <a:ext cx="12573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</xdr:colOff>
      <xdr:row>17</xdr:row>
      <xdr:rowOff>179070</xdr:rowOff>
    </xdr:from>
    <xdr:to>
      <xdr:col>15</xdr:col>
      <xdr:colOff>45721</xdr:colOff>
      <xdr:row>19</xdr:row>
      <xdr:rowOff>188595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FDC9C7B0-03C2-4C45-BDDC-6B88544606B1}"/>
            </a:ext>
          </a:extLst>
        </xdr:cNvPr>
        <xdr:cNvCxnSpPr/>
      </xdr:nvCxnSpPr>
      <xdr:spPr>
        <a:xfrm rot="5400000" flipH="1" flipV="1">
          <a:off x="10076499" y="3502342"/>
          <a:ext cx="392430" cy="476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</xdr:colOff>
      <xdr:row>18</xdr:row>
      <xdr:rowOff>1905</xdr:rowOff>
    </xdr:from>
    <xdr:to>
      <xdr:col>16</xdr:col>
      <xdr:colOff>9494</xdr:colOff>
      <xdr:row>18</xdr:row>
      <xdr:rowOff>3493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20DD1FE0-F924-4C91-B709-40E23BC93C4B}"/>
            </a:ext>
          </a:extLst>
        </xdr:cNvPr>
        <xdr:cNvCxnSpPr/>
      </xdr:nvCxnSpPr>
      <xdr:spPr>
        <a:xfrm>
          <a:off x="10296525" y="3335655"/>
          <a:ext cx="468599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118110</xdr:colOff>
      <xdr:row>19</xdr:row>
      <xdr:rowOff>0</xdr:rowOff>
    </xdr:from>
    <xdr:to>
      <xdr:col>15</xdr:col>
      <xdr:colOff>502704</xdr:colOff>
      <xdr:row>19</xdr:row>
      <xdr:rowOff>1588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2BF1827C-1899-4C65-B57B-0E74FC3DD098}"/>
            </a:ext>
          </a:extLst>
        </xdr:cNvPr>
        <xdr:cNvCxnSpPr/>
      </xdr:nvCxnSpPr>
      <xdr:spPr>
        <a:xfrm>
          <a:off x="10368915" y="3533775"/>
          <a:ext cx="384594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495300</xdr:colOff>
      <xdr:row>18</xdr:row>
      <xdr:rowOff>62865</xdr:rowOff>
    </xdr:from>
    <xdr:to>
      <xdr:col>14</xdr:col>
      <xdr:colOff>571499</xdr:colOff>
      <xdr:row>19</xdr:row>
      <xdr:rowOff>101</xdr:rowOff>
    </xdr:to>
    <xdr:sp macro="" textlink="">
      <xdr:nvSpPr>
        <xdr:cNvPr id="14" name="Multiplicar 16">
          <a:extLst>
            <a:ext uri="{FF2B5EF4-FFF2-40B4-BE49-F238E27FC236}">
              <a16:creationId xmlns:a16="http://schemas.microsoft.com/office/drawing/2014/main" id="{B634DCCA-5ED7-465D-AECC-323E0F33AB9C}"/>
            </a:ext>
          </a:extLst>
        </xdr:cNvPr>
        <xdr:cNvSpPr/>
      </xdr:nvSpPr>
      <xdr:spPr>
        <a:xfrm>
          <a:off x="10172700" y="3392805"/>
          <a:ext cx="76199" cy="141071"/>
        </a:xfrm>
        <a:prstGeom prst="mathMultiply">
          <a:avLst/>
        </a:prstGeom>
        <a:solidFill>
          <a:schemeClr val="tx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  <xdr:twoCellAnchor>
    <xdr:from>
      <xdr:col>15</xdr:col>
      <xdr:colOff>1905</xdr:colOff>
      <xdr:row>21</xdr:row>
      <xdr:rowOff>55245</xdr:rowOff>
    </xdr:from>
    <xdr:to>
      <xdr:col>15</xdr:col>
      <xdr:colOff>1905</xdr:colOff>
      <xdr:row>21</xdr:row>
      <xdr:rowOff>205641</xdr:rowOff>
    </xdr:to>
    <xdr:sp macro="" textlink="">
      <xdr:nvSpPr>
        <xdr:cNvPr id="15" name="Multiplicar 18">
          <a:extLst>
            <a:ext uri="{FF2B5EF4-FFF2-40B4-BE49-F238E27FC236}">
              <a16:creationId xmlns:a16="http://schemas.microsoft.com/office/drawing/2014/main" id="{6D326D45-0F75-41C0-ACC8-399790244B64}"/>
            </a:ext>
          </a:extLst>
        </xdr:cNvPr>
        <xdr:cNvSpPr/>
      </xdr:nvSpPr>
      <xdr:spPr>
        <a:xfrm>
          <a:off x="10250805" y="3973830"/>
          <a:ext cx="0" cy="150396"/>
        </a:xfrm>
        <a:prstGeom prst="mathMultiply">
          <a:avLst/>
        </a:prstGeom>
        <a:solidFill>
          <a:schemeClr val="tx1"/>
        </a:solidFill>
        <a:ln w="31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  <xdr:twoCellAnchor editAs="oneCell">
    <xdr:from>
      <xdr:col>8</xdr:col>
      <xdr:colOff>182880</xdr:colOff>
      <xdr:row>28</xdr:row>
      <xdr:rowOff>121920</xdr:rowOff>
    </xdr:from>
    <xdr:to>
      <xdr:col>14</xdr:col>
      <xdr:colOff>1905</xdr:colOff>
      <xdr:row>46</xdr:row>
      <xdr:rowOff>169545</xdr:rowOff>
    </xdr:to>
    <xdr:pic>
      <xdr:nvPicPr>
        <xdr:cNvPr id="16" name="Picture 45">
          <a:extLst>
            <a:ext uri="{FF2B5EF4-FFF2-40B4-BE49-F238E27FC236}">
              <a16:creationId xmlns:a16="http://schemas.microsoft.com/office/drawing/2014/main" id="{809B9822-43EB-4799-B048-78BB746C4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5353050"/>
          <a:ext cx="4276725" cy="3438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891540</xdr:colOff>
          <xdr:row>8</xdr:row>
          <xdr:rowOff>121920</xdr:rowOff>
        </xdr:from>
        <xdr:to>
          <xdr:col>3</xdr:col>
          <xdr:colOff>312420</xdr:colOff>
          <xdr:row>10</xdr:row>
          <xdr:rowOff>198120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556EEF0-8E74-4727-A2E9-BDE64E9D1E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982980</xdr:colOff>
          <xdr:row>20</xdr:row>
          <xdr:rowOff>121920</xdr:rowOff>
        </xdr:from>
        <xdr:to>
          <xdr:col>2</xdr:col>
          <xdr:colOff>586740</xdr:colOff>
          <xdr:row>22</xdr:row>
          <xdr:rowOff>167640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645DE77-8FEE-478F-8776-955B82C883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1333500</xdr:colOff>
          <xdr:row>48</xdr:row>
          <xdr:rowOff>190500</xdr:rowOff>
        </xdr:from>
        <xdr:to>
          <xdr:col>6</xdr:col>
          <xdr:colOff>259080</xdr:colOff>
          <xdr:row>51</xdr:row>
          <xdr:rowOff>38100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B9158C0-EE7B-46BA-985D-DC3343DFE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449580</xdr:colOff>
          <xdr:row>54</xdr:row>
          <xdr:rowOff>190500</xdr:rowOff>
        </xdr:from>
        <xdr:to>
          <xdr:col>6</xdr:col>
          <xdr:colOff>228600</xdr:colOff>
          <xdr:row>57</xdr:row>
          <xdr:rowOff>60960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CA551CC-F551-4F72-A3FA-8CC256C6F5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487680</xdr:colOff>
          <xdr:row>13</xdr:row>
          <xdr:rowOff>160020</xdr:rowOff>
        </xdr:from>
        <xdr:to>
          <xdr:col>17</xdr:col>
          <xdr:colOff>60960</xdr:colOff>
          <xdr:row>16</xdr:row>
          <xdr:rowOff>22860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1C276F8F-4D70-42E9-8E82-28BA1ACB75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1950720</xdr:colOff>
          <xdr:row>43</xdr:row>
          <xdr:rowOff>106680</xdr:rowOff>
        </xdr:from>
        <xdr:to>
          <xdr:col>6</xdr:col>
          <xdr:colOff>525780</xdr:colOff>
          <xdr:row>45</xdr:row>
          <xdr:rowOff>160020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5DAB2718-D372-4003-8C63-15001D2584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1996440</xdr:colOff>
          <xdr:row>32</xdr:row>
          <xdr:rowOff>144780</xdr:rowOff>
        </xdr:from>
        <xdr:to>
          <xdr:col>6</xdr:col>
          <xdr:colOff>541020</xdr:colOff>
          <xdr:row>34</xdr:row>
          <xdr:rowOff>167640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6B5C498B-D2FD-4E1B-87CB-F35C493DDB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180975</xdr:colOff>
      <xdr:row>24</xdr:row>
      <xdr:rowOff>19050</xdr:rowOff>
    </xdr:from>
    <xdr:ext cx="2482271" cy="958513"/>
    <xdr:sp macro="" textlink="">
      <xdr:nvSpPr>
        <xdr:cNvPr id="17" name="Object 33">
          <a:extLst>
            <a:ext uri="{FF2B5EF4-FFF2-40B4-BE49-F238E27FC236}">
              <a16:creationId xmlns:a16="http://schemas.microsoft.com/office/drawing/2014/main" id="{CFCFD700-A88C-4151-B415-CDDA8DEEA3A8}"/>
            </a:ext>
          </a:extLst>
        </xdr:cNvPr>
        <xdr:cNvSpPr txBox="1">
          <a:spLocks noChangeArrowheads="1"/>
        </xdr:cNvSpPr>
      </xdr:nvSpPr>
      <xdr:spPr bwMode="auto">
        <a:xfrm>
          <a:off x="179070" y="4520565"/>
          <a:ext cx="2482271" cy="958513"/>
        </a:xfrm>
        <a:prstGeom prst="rect">
          <a:avLst/>
        </a:prstGeom>
        <a:noFill/>
        <a:ln>
          <a:noFill/>
        </a:ln>
      </xdr:spPr>
      <xdr:txBody>
        <a:bodyPr wrap="none" lIns="36576" tIns="512064" rIns="0" bIns="0" anchor="t" upright="1">
          <a:noAutofit/>
        </a:bodyPr>
        <a:lstStyle/>
        <a:p>
          <a:pPr algn="l" rtl="0">
            <a:defRPr sz="1000"/>
          </a:pPr>
          <a:r>
            <a:rPr lang="pt-BR" sz="14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P=P_0+(α_P*p)/10000</a:t>
          </a:r>
        </a:p>
      </xdr:txBody>
    </xdr:sp>
    <xdr:clientData/>
  </xdr:oneCellAnchor>
  <xdr:oneCellAnchor>
    <xdr:from>
      <xdr:col>0</xdr:col>
      <xdr:colOff>586740</xdr:colOff>
      <xdr:row>34</xdr:row>
      <xdr:rowOff>64770</xdr:rowOff>
    </xdr:from>
    <xdr:ext cx="2303599" cy="768008"/>
    <xdr:sp macro="" textlink="">
      <xdr:nvSpPr>
        <xdr:cNvPr id="18" name="Object 32">
          <a:extLst>
            <a:ext uri="{FF2B5EF4-FFF2-40B4-BE49-F238E27FC236}">
              <a16:creationId xmlns:a16="http://schemas.microsoft.com/office/drawing/2014/main" id="{CD283BA5-5A71-4681-949D-19AF0E0823C9}"/>
            </a:ext>
          </a:extLst>
        </xdr:cNvPr>
        <xdr:cNvSpPr txBox="1">
          <a:spLocks noChangeArrowheads="1"/>
        </xdr:cNvSpPr>
      </xdr:nvSpPr>
      <xdr:spPr bwMode="auto">
        <a:xfrm>
          <a:off x="590550" y="6492240"/>
          <a:ext cx="2303599" cy="768008"/>
        </a:xfrm>
        <a:prstGeom prst="rect">
          <a:avLst/>
        </a:prstGeom>
        <a:noFill/>
        <a:ln>
          <a:noFill/>
        </a:ln>
      </xdr:spPr>
      <xdr:txBody>
        <a:bodyPr wrap="square" lIns="36576" tIns="512064" rIns="0" bIns="0" anchor="t" upright="1">
          <a:noAutofit/>
        </a:bodyPr>
        <a:lstStyle/>
        <a:p>
          <a:pPr algn="l" rtl="0">
            <a:defRPr sz="1000"/>
          </a:pPr>
          <a:r>
            <a:rPr lang="pt-BR" sz="1400" b="0" i="0" u="none" strike="noStrike" baseline="0">
              <a:solidFill>
                <a:srgbClr val="000000"/>
              </a:solidFill>
              <a:latin typeface="Cambria Math"/>
              <a:ea typeface="Cambria Math"/>
            </a:rPr>
            <a:t>T=T_0+(α_T*t)/10000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w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wmf"/><Relationship Id="rId5" Type="http://schemas.openxmlformats.org/officeDocument/2006/relationships/image" Target="../media/image1.w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D3C3-7AA1-48A0-AD28-F74578D87D1F}">
  <sheetPr codeName="Plan2"/>
  <dimension ref="A1:S63"/>
  <sheetViews>
    <sheetView tabSelected="1" topLeftCell="A30" workbookViewId="0">
      <selection activeCell="E2" sqref="E2"/>
    </sheetView>
  </sheetViews>
  <sheetFormatPr defaultColWidth="9.109375" defaultRowHeight="14.4" x14ac:dyDescent="0.3"/>
  <cols>
    <col min="1" max="1" width="23.44140625" style="3" customWidth="1"/>
    <col min="2" max="2" width="9.109375" style="3"/>
    <col min="3" max="3" width="9.5546875" style="3" customWidth="1"/>
    <col min="4" max="4" width="6" style="3" customWidth="1"/>
    <col min="5" max="5" width="6.44140625" style="3" customWidth="1"/>
    <col min="6" max="6" width="8.44140625" style="3" customWidth="1"/>
    <col min="7" max="7" width="10" style="3" customWidth="1"/>
    <col min="8" max="8" width="3" style="3" customWidth="1"/>
    <col min="9" max="9" width="20.109375" style="3" customWidth="1"/>
    <col min="10" max="10" width="4.44140625" style="3" bestFit="1" customWidth="1"/>
    <col min="11" max="11" width="12.6640625" style="3" customWidth="1"/>
    <col min="12" max="12" width="5.33203125" style="3" customWidth="1"/>
    <col min="13" max="13" width="12.44140625" style="3" customWidth="1"/>
    <col min="14" max="14" width="10" style="3" customWidth="1"/>
    <col min="15" max="15" width="8.33203125" style="3" customWidth="1"/>
    <col min="16" max="17" width="7.33203125" style="3" customWidth="1"/>
    <col min="18" max="18" width="9.88671875" style="3" customWidth="1"/>
    <col min="19" max="19" width="39.5546875" style="3" customWidth="1"/>
    <col min="20" max="256" width="9.109375" style="3"/>
    <col min="257" max="257" width="23.44140625" style="3" customWidth="1"/>
    <col min="258" max="258" width="9.109375" style="3"/>
    <col min="259" max="259" width="9.5546875" style="3" customWidth="1"/>
    <col min="260" max="260" width="6" style="3" customWidth="1"/>
    <col min="261" max="261" width="6.44140625" style="3" customWidth="1"/>
    <col min="262" max="262" width="8.44140625" style="3" customWidth="1"/>
    <col min="263" max="263" width="10" style="3" customWidth="1"/>
    <col min="264" max="264" width="3" style="3" customWidth="1"/>
    <col min="265" max="265" width="20.109375" style="3" customWidth="1"/>
    <col min="266" max="266" width="4.44140625" style="3" bestFit="1" customWidth="1"/>
    <col min="267" max="267" width="12.6640625" style="3" customWidth="1"/>
    <col min="268" max="268" width="5.33203125" style="3" customWidth="1"/>
    <col min="269" max="269" width="12.44140625" style="3" customWidth="1"/>
    <col min="270" max="270" width="10" style="3" customWidth="1"/>
    <col min="271" max="271" width="8.33203125" style="3" customWidth="1"/>
    <col min="272" max="273" width="7.33203125" style="3" customWidth="1"/>
    <col min="274" max="274" width="9.88671875" style="3" customWidth="1"/>
    <col min="275" max="275" width="39.5546875" style="3" customWidth="1"/>
    <col min="276" max="512" width="9.109375" style="3"/>
    <col min="513" max="513" width="23.44140625" style="3" customWidth="1"/>
    <col min="514" max="514" width="9.109375" style="3"/>
    <col min="515" max="515" width="9.5546875" style="3" customWidth="1"/>
    <col min="516" max="516" width="6" style="3" customWidth="1"/>
    <col min="517" max="517" width="6.44140625" style="3" customWidth="1"/>
    <col min="518" max="518" width="8.44140625" style="3" customWidth="1"/>
    <col min="519" max="519" width="10" style="3" customWidth="1"/>
    <col min="520" max="520" width="3" style="3" customWidth="1"/>
    <col min="521" max="521" width="20.109375" style="3" customWidth="1"/>
    <col min="522" max="522" width="4.44140625" style="3" bestFit="1" customWidth="1"/>
    <col min="523" max="523" width="12.6640625" style="3" customWidth="1"/>
    <col min="524" max="524" width="5.33203125" style="3" customWidth="1"/>
    <col min="525" max="525" width="12.44140625" style="3" customWidth="1"/>
    <col min="526" max="526" width="10" style="3" customWidth="1"/>
    <col min="527" max="527" width="8.33203125" style="3" customWidth="1"/>
    <col min="528" max="529" width="7.33203125" style="3" customWidth="1"/>
    <col min="530" max="530" width="9.88671875" style="3" customWidth="1"/>
    <col min="531" max="531" width="39.5546875" style="3" customWidth="1"/>
    <col min="532" max="768" width="9.109375" style="3"/>
    <col min="769" max="769" width="23.44140625" style="3" customWidth="1"/>
    <col min="770" max="770" width="9.109375" style="3"/>
    <col min="771" max="771" width="9.5546875" style="3" customWidth="1"/>
    <col min="772" max="772" width="6" style="3" customWidth="1"/>
    <col min="773" max="773" width="6.44140625" style="3" customWidth="1"/>
    <col min="774" max="774" width="8.44140625" style="3" customWidth="1"/>
    <col min="775" max="775" width="10" style="3" customWidth="1"/>
    <col min="776" max="776" width="3" style="3" customWidth="1"/>
    <col min="777" max="777" width="20.109375" style="3" customWidth="1"/>
    <col min="778" max="778" width="4.44140625" style="3" bestFit="1" customWidth="1"/>
    <col min="779" max="779" width="12.6640625" style="3" customWidth="1"/>
    <col min="780" max="780" width="5.33203125" style="3" customWidth="1"/>
    <col min="781" max="781" width="12.44140625" style="3" customWidth="1"/>
    <col min="782" max="782" width="10" style="3" customWidth="1"/>
    <col min="783" max="783" width="8.33203125" style="3" customWidth="1"/>
    <col min="784" max="785" width="7.33203125" style="3" customWidth="1"/>
    <col min="786" max="786" width="9.88671875" style="3" customWidth="1"/>
    <col min="787" max="787" width="39.5546875" style="3" customWidth="1"/>
    <col min="788" max="1024" width="9.109375" style="3"/>
    <col min="1025" max="1025" width="23.44140625" style="3" customWidth="1"/>
    <col min="1026" max="1026" width="9.109375" style="3"/>
    <col min="1027" max="1027" width="9.5546875" style="3" customWidth="1"/>
    <col min="1028" max="1028" width="6" style="3" customWidth="1"/>
    <col min="1029" max="1029" width="6.44140625" style="3" customWidth="1"/>
    <col min="1030" max="1030" width="8.44140625" style="3" customWidth="1"/>
    <col min="1031" max="1031" width="10" style="3" customWidth="1"/>
    <col min="1032" max="1032" width="3" style="3" customWidth="1"/>
    <col min="1033" max="1033" width="20.109375" style="3" customWidth="1"/>
    <col min="1034" max="1034" width="4.44140625" style="3" bestFit="1" customWidth="1"/>
    <col min="1035" max="1035" width="12.6640625" style="3" customWidth="1"/>
    <col min="1036" max="1036" width="5.33203125" style="3" customWidth="1"/>
    <col min="1037" max="1037" width="12.44140625" style="3" customWidth="1"/>
    <col min="1038" max="1038" width="10" style="3" customWidth="1"/>
    <col min="1039" max="1039" width="8.33203125" style="3" customWidth="1"/>
    <col min="1040" max="1041" width="7.33203125" style="3" customWidth="1"/>
    <col min="1042" max="1042" width="9.88671875" style="3" customWidth="1"/>
    <col min="1043" max="1043" width="39.5546875" style="3" customWidth="1"/>
    <col min="1044" max="1280" width="9.109375" style="3"/>
    <col min="1281" max="1281" width="23.44140625" style="3" customWidth="1"/>
    <col min="1282" max="1282" width="9.109375" style="3"/>
    <col min="1283" max="1283" width="9.5546875" style="3" customWidth="1"/>
    <col min="1284" max="1284" width="6" style="3" customWidth="1"/>
    <col min="1285" max="1285" width="6.44140625" style="3" customWidth="1"/>
    <col min="1286" max="1286" width="8.44140625" style="3" customWidth="1"/>
    <col min="1287" max="1287" width="10" style="3" customWidth="1"/>
    <col min="1288" max="1288" width="3" style="3" customWidth="1"/>
    <col min="1289" max="1289" width="20.109375" style="3" customWidth="1"/>
    <col min="1290" max="1290" width="4.44140625" style="3" bestFit="1" customWidth="1"/>
    <col min="1291" max="1291" width="12.6640625" style="3" customWidth="1"/>
    <col min="1292" max="1292" width="5.33203125" style="3" customWidth="1"/>
    <col min="1293" max="1293" width="12.44140625" style="3" customWidth="1"/>
    <col min="1294" max="1294" width="10" style="3" customWidth="1"/>
    <col min="1295" max="1295" width="8.33203125" style="3" customWidth="1"/>
    <col min="1296" max="1297" width="7.33203125" style="3" customWidth="1"/>
    <col min="1298" max="1298" width="9.88671875" style="3" customWidth="1"/>
    <col min="1299" max="1299" width="39.5546875" style="3" customWidth="1"/>
    <col min="1300" max="1536" width="9.109375" style="3"/>
    <col min="1537" max="1537" width="23.44140625" style="3" customWidth="1"/>
    <col min="1538" max="1538" width="9.109375" style="3"/>
    <col min="1539" max="1539" width="9.5546875" style="3" customWidth="1"/>
    <col min="1540" max="1540" width="6" style="3" customWidth="1"/>
    <col min="1541" max="1541" width="6.44140625" style="3" customWidth="1"/>
    <col min="1542" max="1542" width="8.44140625" style="3" customWidth="1"/>
    <col min="1543" max="1543" width="10" style="3" customWidth="1"/>
    <col min="1544" max="1544" width="3" style="3" customWidth="1"/>
    <col min="1545" max="1545" width="20.109375" style="3" customWidth="1"/>
    <col min="1546" max="1546" width="4.44140625" style="3" bestFit="1" customWidth="1"/>
    <col min="1547" max="1547" width="12.6640625" style="3" customWidth="1"/>
    <col min="1548" max="1548" width="5.33203125" style="3" customWidth="1"/>
    <col min="1549" max="1549" width="12.44140625" style="3" customWidth="1"/>
    <col min="1550" max="1550" width="10" style="3" customWidth="1"/>
    <col min="1551" max="1551" width="8.33203125" style="3" customWidth="1"/>
    <col min="1552" max="1553" width="7.33203125" style="3" customWidth="1"/>
    <col min="1554" max="1554" width="9.88671875" style="3" customWidth="1"/>
    <col min="1555" max="1555" width="39.5546875" style="3" customWidth="1"/>
    <col min="1556" max="1792" width="9.109375" style="3"/>
    <col min="1793" max="1793" width="23.44140625" style="3" customWidth="1"/>
    <col min="1794" max="1794" width="9.109375" style="3"/>
    <col min="1795" max="1795" width="9.5546875" style="3" customWidth="1"/>
    <col min="1796" max="1796" width="6" style="3" customWidth="1"/>
    <col min="1797" max="1797" width="6.44140625" style="3" customWidth="1"/>
    <col min="1798" max="1798" width="8.44140625" style="3" customWidth="1"/>
    <col min="1799" max="1799" width="10" style="3" customWidth="1"/>
    <col min="1800" max="1800" width="3" style="3" customWidth="1"/>
    <col min="1801" max="1801" width="20.109375" style="3" customWidth="1"/>
    <col min="1802" max="1802" width="4.44140625" style="3" bestFit="1" customWidth="1"/>
    <col min="1803" max="1803" width="12.6640625" style="3" customWidth="1"/>
    <col min="1804" max="1804" width="5.33203125" style="3" customWidth="1"/>
    <col min="1805" max="1805" width="12.44140625" style="3" customWidth="1"/>
    <col min="1806" max="1806" width="10" style="3" customWidth="1"/>
    <col min="1807" max="1807" width="8.33203125" style="3" customWidth="1"/>
    <col min="1808" max="1809" width="7.33203125" style="3" customWidth="1"/>
    <col min="1810" max="1810" width="9.88671875" style="3" customWidth="1"/>
    <col min="1811" max="1811" width="39.5546875" style="3" customWidth="1"/>
    <col min="1812" max="2048" width="9.109375" style="3"/>
    <col min="2049" max="2049" width="23.44140625" style="3" customWidth="1"/>
    <col min="2050" max="2050" width="9.109375" style="3"/>
    <col min="2051" max="2051" width="9.5546875" style="3" customWidth="1"/>
    <col min="2052" max="2052" width="6" style="3" customWidth="1"/>
    <col min="2053" max="2053" width="6.44140625" style="3" customWidth="1"/>
    <col min="2054" max="2054" width="8.44140625" style="3" customWidth="1"/>
    <col min="2055" max="2055" width="10" style="3" customWidth="1"/>
    <col min="2056" max="2056" width="3" style="3" customWidth="1"/>
    <col min="2057" max="2057" width="20.109375" style="3" customWidth="1"/>
    <col min="2058" max="2058" width="4.44140625" style="3" bestFit="1" customWidth="1"/>
    <col min="2059" max="2059" width="12.6640625" style="3" customWidth="1"/>
    <col min="2060" max="2060" width="5.33203125" style="3" customWidth="1"/>
    <col min="2061" max="2061" width="12.44140625" style="3" customWidth="1"/>
    <col min="2062" max="2062" width="10" style="3" customWidth="1"/>
    <col min="2063" max="2063" width="8.33203125" style="3" customWidth="1"/>
    <col min="2064" max="2065" width="7.33203125" style="3" customWidth="1"/>
    <col min="2066" max="2066" width="9.88671875" style="3" customWidth="1"/>
    <col min="2067" max="2067" width="39.5546875" style="3" customWidth="1"/>
    <col min="2068" max="2304" width="9.109375" style="3"/>
    <col min="2305" max="2305" width="23.44140625" style="3" customWidth="1"/>
    <col min="2306" max="2306" width="9.109375" style="3"/>
    <col min="2307" max="2307" width="9.5546875" style="3" customWidth="1"/>
    <col min="2308" max="2308" width="6" style="3" customWidth="1"/>
    <col min="2309" max="2309" width="6.44140625" style="3" customWidth="1"/>
    <col min="2310" max="2310" width="8.44140625" style="3" customWidth="1"/>
    <col min="2311" max="2311" width="10" style="3" customWidth="1"/>
    <col min="2312" max="2312" width="3" style="3" customWidth="1"/>
    <col min="2313" max="2313" width="20.109375" style="3" customWidth="1"/>
    <col min="2314" max="2314" width="4.44140625" style="3" bestFit="1" customWidth="1"/>
    <col min="2315" max="2315" width="12.6640625" style="3" customWidth="1"/>
    <col min="2316" max="2316" width="5.33203125" style="3" customWidth="1"/>
    <col min="2317" max="2317" width="12.44140625" style="3" customWidth="1"/>
    <col min="2318" max="2318" width="10" style="3" customWidth="1"/>
    <col min="2319" max="2319" width="8.33203125" style="3" customWidth="1"/>
    <col min="2320" max="2321" width="7.33203125" style="3" customWidth="1"/>
    <col min="2322" max="2322" width="9.88671875" style="3" customWidth="1"/>
    <col min="2323" max="2323" width="39.5546875" style="3" customWidth="1"/>
    <col min="2324" max="2560" width="9.109375" style="3"/>
    <col min="2561" max="2561" width="23.44140625" style="3" customWidth="1"/>
    <col min="2562" max="2562" width="9.109375" style="3"/>
    <col min="2563" max="2563" width="9.5546875" style="3" customWidth="1"/>
    <col min="2564" max="2564" width="6" style="3" customWidth="1"/>
    <col min="2565" max="2565" width="6.44140625" style="3" customWidth="1"/>
    <col min="2566" max="2566" width="8.44140625" style="3" customWidth="1"/>
    <col min="2567" max="2567" width="10" style="3" customWidth="1"/>
    <col min="2568" max="2568" width="3" style="3" customWidth="1"/>
    <col min="2569" max="2569" width="20.109375" style="3" customWidth="1"/>
    <col min="2570" max="2570" width="4.44140625" style="3" bestFit="1" customWidth="1"/>
    <col min="2571" max="2571" width="12.6640625" style="3" customWidth="1"/>
    <col min="2572" max="2572" width="5.33203125" style="3" customWidth="1"/>
    <col min="2573" max="2573" width="12.44140625" style="3" customWidth="1"/>
    <col min="2574" max="2574" width="10" style="3" customWidth="1"/>
    <col min="2575" max="2575" width="8.33203125" style="3" customWidth="1"/>
    <col min="2576" max="2577" width="7.33203125" style="3" customWidth="1"/>
    <col min="2578" max="2578" width="9.88671875" style="3" customWidth="1"/>
    <col min="2579" max="2579" width="39.5546875" style="3" customWidth="1"/>
    <col min="2580" max="2816" width="9.109375" style="3"/>
    <col min="2817" max="2817" width="23.44140625" style="3" customWidth="1"/>
    <col min="2818" max="2818" width="9.109375" style="3"/>
    <col min="2819" max="2819" width="9.5546875" style="3" customWidth="1"/>
    <col min="2820" max="2820" width="6" style="3" customWidth="1"/>
    <col min="2821" max="2821" width="6.44140625" style="3" customWidth="1"/>
    <col min="2822" max="2822" width="8.44140625" style="3" customWidth="1"/>
    <col min="2823" max="2823" width="10" style="3" customWidth="1"/>
    <col min="2824" max="2824" width="3" style="3" customWidth="1"/>
    <col min="2825" max="2825" width="20.109375" style="3" customWidth="1"/>
    <col min="2826" max="2826" width="4.44140625" style="3" bestFit="1" customWidth="1"/>
    <col min="2827" max="2827" width="12.6640625" style="3" customWidth="1"/>
    <col min="2828" max="2828" width="5.33203125" style="3" customWidth="1"/>
    <col min="2829" max="2829" width="12.44140625" style="3" customWidth="1"/>
    <col min="2830" max="2830" width="10" style="3" customWidth="1"/>
    <col min="2831" max="2831" width="8.33203125" style="3" customWidth="1"/>
    <col min="2832" max="2833" width="7.33203125" style="3" customWidth="1"/>
    <col min="2834" max="2834" width="9.88671875" style="3" customWidth="1"/>
    <col min="2835" max="2835" width="39.5546875" style="3" customWidth="1"/>
    <col min="2836" max="3072" width="9.109375" style="3"/>
    <col min="3073" max="3073" width="23.44140625" style="3" customWidth="1"/>
    <col min="3074" max="3074" width="9.109375" style="3"/>
    <col min="3075" max="3075" width="9.5546875" style="3" customWidth="1"/>
    <col min="3076" max="3076" width="6" style="3" customWidth="1"/>
    <col min="3077" max="3077" width="6.44140625" style="3" customWidth="1"/>
    <col min="3078" max="3078" width="8.44140625" style="3" customWidth="1"/>
    <col min="3079" max="3079" width="10" style="3" customWidth="1"/>
    <col min="3080" max="3080" width="3" style="3" customWidth="1"/>
    <col min="3081" max="3081" width="20.109375" style="3" customWidth="1"/>
    <col min="3082" max="3082" width="4.44140625" style="3" bestFit="1" customWidth="1"/>
    <col min="3083" max="3083" width="12.6640625" style="3" customWidth="1"/>
    <col min="3084" max="3084" width="5.33203125" style="3" customWidth="1"/>
    <col min="3085" max="3085" width="12.44140625" style="3" customWidth="1"/>
    <col min="3086" max="3086" width="10" style="3" customWidth="1"/>
    <col min="3087" max="3087" width="8.33203125" style="3" customWidth="1"/>
    <col min="3088" max="3089" width="7.33203125" style="3" customWidth="1"/>
    <col min="3090" max="3090" width="9.88671875" style="3" customWidth="1"/>
    <col min="3091" max="3091" width="39.5546875" style="3" customWidth="1"/>
    <col min="3092" max="3328" width="9.109375" style="3"/>
    <col min="3329" max="3329" width="23.44140625" style="3" customWidth="1"/>
    <col min="3330" max="3330" width="9.109375" style="3"/>
    <col min="3331" max="3331" width="9.5546875" style="3" customWidth="1"/>
    <col min="3332" max="3332" width="6" style="3" customWidth="1"/>
    <col min="3333" max="3333" width="6.44140625" style="3" customWidth="1"/>
    <col min="3334" max="3334" width="8.44140625" style="3" customWidth="1"/>
    <col min="3335" max="3335" width="10" style="3" customWidth="1"/>
    <col min="3336" max="3336" width="3" style="3" customWidth="1"/>
    <col min="3337" max="3337" width="20.109375" style="3" customWidth="1"/>
    <col min="3338" max="3338" width="4.44140625" style="3" bestFit="1" customWidth="1"/>
    <col min="3339" max="3339" width="12.6640625" style="3" customWidth="1"/>
    <col min="3340" max="3340" width="5.33203125" style="3" customWidth="1"/>
    <col min="3341" max="3341" width="12.44140625" style="3" customWidth="1"/>
    <col min="3342" max="3342" width="10" style="3" customWidth="1"/>
    <col min="3343" max="3343" width="8.33203125" style="3" customWidth="1"/>
    <col min="3344" max="3345" width="7.33203125" style="3" customWidth="1"/>
    <col min="3346" max="3346" width="9.88671875" style="3" customWidth="1"/>
    <col min="3347" max="3347" width="39.5546875" style="3" customWidth="1"/>
    <col min="3348" max="3584" width="9.109375" style="3"/>
    <col min="3585" max="3585" width="23.44140625" style="3" customWidth="1"/>
    <col min="3586" max="3586" width="9.109375" style="3"/>
    <col min="3587" max="3587" width="9.5546875" style="3" customWidth="1"/>
    <col min="3588" max="3588" width="6" style="3" customWidth="1"/>
    <col min="3589" max="3589" width="6.44140625" style="3" customWidth="1"/>
    <col min="3590" max="3590" width="8.44140625" style="3" customWidth="1"/>
    <col min="3591" max="3591" width="10" style="3" customWidth="1"/>
    <col min="3592" max="3592" width="3" style="3" customWidth="1"/>
    <col min="3593" max="3593" width="20.109375" style="3" customWidth="1"/>
    <col min="3594" max="3594" width="4.44140625" style="3" bestFit="1" customWidth="1"/>
    <col min="3595" max="3595" width="12.6640625" style="3" customWidth="1"/>
    <col min="3596" max="3596" width="5.33203125" style="3" customWidth="1"/>
    <col min="3597" max="3597" width="12.44140625" style="3" customWidth="1"/>
    <col min="3598" max="3598" width="10" style="3" customWidth="1"/>
    <col min="3599" max="3599" width="8.33203125" style="3" customWidth="1"/>
    <col min="3600" max="3601" width="7.33203125" style="3" customWidth="1"/>
    <col min="3602" max="3602" width="9.88671875" style="3" customWidth="1"/>
    <col min="3603" max="3603" width="39.5546875" style="3" customWidth="1"/>
    <col min="3604" max="3840" width="9.109375" style="3"/>
    <col min="3841" max="3841" width="23.44140625" style="3" customWidth="1"/>
    <col min="3842" max="3842" width="9.109375" style="3"/>
    <col min="3843" max="3843" width="9.5546875" style="3" customWidth="1"/>
    <col min="3844" max="3844" width="6" style="3" customWidth="1"/>
    <col min="3845" max="3845" width="6.44140625" style="3" customWidth="1"/>
    <col min="3846" max="3846" width="8.44140625" style="3" customWidth="1"/>
    <col min="3847" max="3847" width="10" style="3" customWidth="1"/>
    <col min="3848" max="3848" width="3" style="3" customWidth="1"/>
    <col min="3849" max="3849" width="20.109375" style="3" customWidth="1"/>
    <col min="3850" max="3850" width="4.44140625" style="3" bestFit="1" customWidth="1"/>
    <col min="3851" max="3851" width="12.6640625" style="3" customWidth="1"/>
    <col min="3852" max="3852" width="5.33203125" style="3" customWidth="1"/>
    <col min="3853" max="3853" width="12.44140625" style="3" customWidth="1"/>
    <col min="3854" max="3854" width="10" style="3" customWidth="1"/>
    <col min="3855" max="3855" width="8.33203125" style="3" customWidth="1"/>
    <col min="3856" max="3857" width="7.33203125" style="3" customWidth="1"/>
    <col min="3858" max="3858" width="9.88671875" style="3" customWidth="1"/>
    <col min="3859" max="3859" width="39.5546875" style="3" customWidth="1"/>
    <col min="3860" max="4096" width="9.109375" style="3"/>
    <col min="4097" max="4097" width="23.44140625" style="3" customWidth="1"/>
    <col min="4098" max="4098" width="9.109375" style="3"/>
    <col min="4099" max="4099" width="9.5546875" style="3" customWidth="1"/>
    <col min="4100" max="4100" width="6" style="3" customWidth="1"/>
    <col min="4101" max="4101" width="6.44140625" style="3" customWidth="1"/>
    <col min="4102" max="4102" width="8.44140625" style="3" customWidth="1"/>
    <col min="4103" max="4103" width="10" style="3" customWidth="1"/>
    <col min="4104" max="4104" width="3" style="3" customWidth="1"/>
    <col min="4105" max="4105" width="20.109375" style="3" customWidth="1"/>
    <col min="4106" max="4106" width="4.44140625" style="3" bestFit="1" customWidth="1"/>
    <col min="4107" max="4107" width="12.6640625" style="3" customWidth="1"/>
    <col min="4108" max="4108" width="5.33203125" style="3" customWidth="1"/>
    <col min="4109" max="4109" width="12.44140625" style="3" customWidth="1"/>
    <col min="4110" max="4110" width="10" style="3" customWidth="1"/>
    <col min="4111" max="4111" width="8.33203125" style="3" customWidth="1"/>
    <col min="4112" max="4113" width="7.33203125" style="3" customWidth="1"/>
    <col min="4114" max="4114" width="9.88671875" style="3" customWidth="1"/>
    <col min="4115" max="4115" width="39.5546875" style="3" customWidth="1"/>
    <col min="4116" max="4352" width="9.109375" style="3"/>
    <col min="4353" max="4353" width="23.44140625" style="3" customWidth="1"/>
    <col min="4354" max="4354" width="9.109375" style="3"/>
    <col min="4355" max="4355" width="9.5546875" style="3" customWidth="1"/>
    <col min="4356" max="4356" width="6" style="3" customWidth="1"/>
    <col min="4357" max="4357" width="6.44140625" style="3" customWidth="1"/>
    <col min="4358" max="4358" width="8.44140625" style="3" customWidth="1"/>
    <col min="4359" max="4359" width="10" style="3" customWidth="1"/>
    <col min="4360" max="4360" width="3" style="3" customWidth="1"/>
    <col min="4361" max="4361" width="20.109375" style="3" customWidth="1"/>
    <col min="4362" max="4362" width="4.44140625" style="3" bestFit="1" customWidth="1"/>
    <col min="4363" max="4363" width="12.6640625" style="3" customWidth="1"/>
    <col min="4364" max="4364" width="5.33203125" style="3" customWidth="1"/>
    <col min="4365" max="4365" width="12.44140625" style="3" customWidth="1"/>
    <col min="4366" max="4366" width="10" style="3" customWidth="1"/>
    <col min="4367" max="4367" width="8.33203125" style="3" customWidth="1"/>
    <col min="4368" max="4369" width="7.33203125" style="3" customWidth="1"/>
    <col min="4370" max="4370" width="9.88671875" style="3" customWidth="1"/>
    <col min="4371" max="4371" width="39.5546875" style="3" customWidth="1"/>
    <col min="4372" max="4608" width="9.109375" style="3"/>
    <col min="4609" max="4609" width="23.44140625" style="3" customWidth="1"/>
    <col min="4610" max="4610" width="9.109375" style="3"/>
    <col min="4611" max="4611" width="9.5546875" style="3" customWidth="1"/>
    <col min="4612" max="4612" width="6" style="3" customWidth="1"/>
    <col min="4613" max="4613" width="6.44140625" style="3" customWidth="1"/>
    <col min="4614" max="4614" width="8.44140625" style="3" customWidth="1"/>
    <col min="4615" max="4615" width="10" style="3" customWidth="1"/>
    <col min="4616" max="4616" width="3" style="3" customWidth="1"/>
    <col min="4617" max="4617" width="20.109375" style="3" customWidth="1"/>
    <col min="4618" max="4618" width="4.44140625" style="3" bestFit="1" customWidth="1"/>
    <col min="4619" max="4619" width="12.6640625" style="3" customWidth="1"/>
    <col min="4620" max="4620" width="5.33203125" style="3" customWidth="1"/>
    <col min="4621" max="4621" width="12.44140625" style="3" customWidth="1"/>
    <col min="4622" max="4622" width="10" style="3" customWidth="1"/>
    <col min="4623" max="4623" width="8.33203125" style="3" customWidth="1"/>
    <col min="4624" max="4625" width="7.33203125" style="3" customWidth="1"/>
    <col min="4626" max="4626" width="9.88671875" style="3" customWidth="1"/>
    <col min="4627" max="4627" width="39.5546875" style="3" customWidth="1"/>
    <col min="4628" max="4864" width="9.109375" style="3"/>
    <col min="4865" max="4865" width="23.44140625" style="3" customWidth="1"/>
    <col min="4866" max="4866" width="9.109375" style="3"/>
    <col min="4867" max="4867" width="9.5546875" style="3" customWidth="1"/>
    <col min="4868" max="4868" width="6" style="3" customWidth="1"/>
    <col min="4869" max="4869" width="6.44140625" style="3" customWidth="1"/>
    <col min="4870" max="4870" width="8.44140625" style="3" customWidth="1"/>
    <col min="4871" max="4871" width="10" style="3" customWidth="1"/>
    <col min="4872" max="4872" width="3" style="3" customWidth="1"/>
    <col min="4873" max="4873" width="20.109375" style="3" customWidth="1"/>
    <col min="4874" max="4874" width="4.44140625" style="3" bestFit="1" customWidth="1"/>
    <col min="4875" max="4875" width="12.6640625" style="3" customWidth="1"/>
    <col min="4876" max="4876" width="5.33203125" style="3" customWidth="1"/>
    <col min="4877" max="4877" width="12.44140625" style="3" customWidth="1"/>
    <col min="4878" max="4878" width="10" style="3" customWidth="1"/>
    <col min="4879" max="4879" width="8.33203125" style="3" customWidth="1"/>
    <col min="4880" max="4881" width="7.33203125" style="3" customWidth="1"/>
    <col min="4882" max="4882" width="9.88671875" style="3" customWidth="1"/>
    <col min="4883" max="4883" width="39.5546875" style="3" customWidth="1"/>
    <col min="4884" max="5120" width="9.109375" style="3"/>
    <col min="5121" max="5121" width="23.44140625" style="3" customWidth="1"/>
    <col min="5122" max="5122" width="9.109375" style="3"/>
    <col min="5123" max="5123" width="9.5546875" style="3" customWidth="1"/>
    <col min="5124" max="5124" width="6" style="3" customWidth="1"/>
    <col min="5125" max="5125" width="6.44140625" style="3" customWidth="1"/>
    <col min="5126" max="5126" width="8.44140625" style="3" customWidth="1"/>
    <col min="5127" max="5127" width="10" style="3" customWidth="1"/>
    <col min="5128" max="5128" width="3" style="3" customWidth="1"/>
    <col min="5129" max="5129" width="20.109375" style="3" customWidth="1"/>
    <col min="5130" max="5130" width="4.44140625" style="3" bestFit="1" customWidth="1"/>
    <col min="5131" max="5131" width="12.6640625" style="3" customWidth="1"/>
    <col min="5132" max="5132" width="5.33203125" style="3" customWidth="1"/>
    <col min="5133" max="5133" width="12.44140625" style="3" customWidth="1"/>
    <col min="5134" max="5134" width="10" style="3" customWidth="1"/>
    <col min="5135" max="5135" width="8.33203125" style="3" customWidth="1"/>
    <col min="5136" max="5137" width="7.33203125" style="3" customWidth="1"/>
    <col min="5138" max="5138" width="9.88671875" style="3" customWidth="1"/>
    <col min="5139" max="5139" width="39.5546875" style="3" customWidth="1"/>
    <col min="5140" max="5376" width="9.109375" style="3"/>
    <col min="5377" max="5377" width="23.44140625" style="3" customWidth="1"/>
    <col min="5378" max="5378" width="9.109375" style="3"/>
    <col min="5379" max="5379" width="9.5546875" style="3" customWidth="1"/>
    <col min="5380" max="5380" width="6" style="3" customWidth="1"/>
    <col min="5381" max="5381" width="6.44140625" style="3" customWidth="1"/>
    <col min="5382" max="5382" width="8.44140625" style="3" customWidth="1"/>
    <col min="5383" max="5383" width="10" style="3" customWidth="1"/>
    <col min="5384" max="5384" width="3" style="3" customWidth="1"/>
    <col min="5385" max="5385" width="20.109375" style="3" customWidth="1"/>
    <col min="5386" max="5386" width="4.44140625" style="3" bestFit="1" customWidth="1"/>
    <col min="5387" max="5387" width="12.6640625" style="3" customWidth="1"/>
    <col min="5388" max="5388" width="5.33203125" style="3" customWidth="1"/>
    <col min="5389" max="5389" width="12.44140625" style="3" customWidth="1"/>
    <col min="5390" max="5390" width="10" style="3" customWidth="1"/>
    <col min="5391" max="5391" width="8.33203125" style="3" customWidth="1"/>
    <col min="5392" max="5393" width="7.33203125" style="3" customWidth="1"/>
    <col min="5394" max="5394" width="9.88671875" style="3" customWidth="1"/>
    <col min="5395" max="5395" width="39.5546875" style="3" customWidth="1"/>
    <col min="5396" max="5632" width="9.109375" style="3"/>
    <col min="5633" max="5633" width="23.44140625" style="3" customWidth="1"/>
    <col min="5634" max="5634" width="9.109375" style="3"/>
    <col min="5635" max="5635" width="9.5546875" style="3" customWidth="1"/>
    <col min="5636" max="5636" width="6" style="3" customWidth="1"/>
    <col min="5637" max="5637" width="6.44140625" style="3" customWidth="1"/>
    <col min="5638" max="5638" width="8.44140625" style="3" customWidth="1"/>
    <col min="5639" max="5639" width="10" style="3" customWidth="1"/>
    <col min="5640" max="5640" width="3" style="3" customWidth="1"/>
    <col min="5641" max="5641" width="20.109375" style="3" customWidth="1"/>
    <col min="5642" max="5642" width="4.44140625" style="3" bestFit="1" customWidth="1"/>
    <col min="5643" max="5643" width="12.6640625" style="3" customWidth="1"/>
    <col min="5644" max="5644" width="5.33203125" style="3" customWidth="1"/>
    <col min="5645" max="5645" width="12.44140625" style="3" customWidth="1"/>
    <col min="5646" max="5646" width="10" style="3" customWidth="1"/>
    <col min="5647" max="5647" width="8.33203125" style="3" customWidth="1"/>
    <col min="5648" max="5649" width="7.33203125" style="3" customWidth="1"/>
    <col min="5650" max="5650" width="9.88671875" style="3" customWidth="1"/>
    <col min="5651" max="5651" width="39.5546875" style="3" customWidth="1"/>
    <col min="5652" max="5888" width="9.109375" style="3"/>
    <col min="5889" max="5889" width="23.44140625" style="3" customWidth="1"/>
    <col min="5890" max="5890" width="9.109375" style="3"/>
    <col min="5891" max="5891" width="9.5546875" style="3" customWidth="1"/>
    <col min="5892" max="5892" width="6" style="3" customWidth="1"/>
    <col min="5893" max="5893" width="6.44140625" style="3" customWidth="1"/>
    <col min="5894" max="5894" width="8.44140625" style="3" customWidth="1"/>
    <col min="5895" max="5895" width="10" style="3" customWidth="1"/>
    <col min="5896" max="5896" width="3" style="3" customWidth="1"/>
    <col min="5897" max="5897" width="20.109375" style="3" customWidth="1"/>
    <col min="5898" max="5898" width="4.44140625" style="3" bestFit="1" customWidth="1"/>
    <col min="5899" max="5899" width="12.6640625" style="3" customWidth="1"/>
    <col min="5900" max="5900" width="5.33203125" style="3" customWidth="1"/>
    <col min="5901" max="5901" width="12.44140625" style="3" customWidth="1"/>
    <col min="5902" max="5902" width="10" style="3" customWidth="1"/>
    <col min="5903" max="5903" width="8.33203125" style="3" customWidth="1"/>
    <col min="5904" max="5905" width="7.33203125" style="3" customWidth="1"/>
    <col min="5906" max="5906" width="9.88671875" style="3" customWidth="1"/>
    <col min="5907" max="5907" width="39.5546875" style="3" customWidth="1"/>
    <col min="5908" max="6144" width="9.109375" style="3"/>
    <col min="6145" max="6145" width="23.44140625" style="3" customWidth="1"/>
    <col min="6146" max="6146" width="9.109375" style="3"/>
    <col min="6147" max="6147" width="9.5546875" style="3" customWidth="1"/>
    <col min="6148" max="6148" width="6" style="3" customWidth="1"/>
    <col min="6149" max="6149" width="6.44140625" style="3" customWidth="1"/>
    <col min="6150" max="6150" width="8.44140625" style="3" customWidth="1"/>
    <col min="6151" max="6151" width="10" style="3" customWidth="1"/>
    <col min="6152" max="6152" width="3" style="3" customWidth="1"/>
    <col min="6153" max="6153" width="20.109375" style="3" customWidth="1"/>
    <col min="6154" max="6154" width="4.44140625" style="3" bestFit="1" customWidth="1"/>
    <col min="6155" max="6155" width="12.6640625" style="3" customWidth="1"/>
    <col min="6156" max="6156" width="5.33203125" style="3" customWidth="1"/>
    <col min="6157" max="6157" width="12.44140625" style="3" customWidth="1"/>
    <col min="6158" max="6158" width="10" style="3" customWidth="1"/>
    <col min="6159" max="6159" width="8.33203125" style="3" customWidth="1"/>
    <col min="6160" max="6161" width="7.33203125" style="3" customWidth="1"/>
    <col min="6162" max="6162" width="9.88671875" style="3" customWidth="1"/>
    <col min="6163" max="6163" width="39.5546875" style="3" customWidth="1"/>
    <col min="6164" max="6400" width="9.109375" style="3"/>
    <col min="6401" max="6401" width="23.44140625" style="3" customWidth="1"/>
    <col min="6402" max="6402" width="9.109375" style="3"/>
    <col min="6403" max="6403" width="9.5546875" style="3" customWidth="1"/>
    <col min="6404" max="6404" width="6" style="3" customWidth="1"/>
    <col min="6405" max="6405" width="6.44140625" style="3" customWidth="1"/>
    <col min="6406" max="6406" width="8.44140625" style="3" customWidth="1"/>
    <col min="6407" max="6407" width="10" style="3" customWidth="1"/>
    <col min="6408" max="6408" width="3" style="3" customWidth="1"/>
    <col min="6409" max="6409" width="20.109375" style="3" customWidth="1"/>
    <col min="6410" max="6410" width="4.44140625" style="3" bestFit="1" customWidth="1"/>
    <col min="6411" max="6411" width="12.6640625" style="3" customWidth="1"/>
    <col min="6412" max="6412" width="5.33203125" style="3" customWidth="1"/>
    <col min="6413" max="6413" width="12.44140625" style="3" customWidth="1"/>
    <col min="6414" max="6414" width="10" style="3" customWidth="1"/>
    <col min="6415" max="6415" width="8.33203125" style="3" customWidth="1"/>
    <col min="6416" max="6417" width="7.33203125" style="3" customWidth="1"/>
    <col min="6418" max="6418" width="9.88671875" style="3" customWidth="1"/>
    <col min="6419" max="6419" width="39.5546875" style="3" customWidth="1"/>
    <col min="6420" max="6656" width="9.109375" style="3"/>
    <col min="6657" max="6657" width="23.44140625" style="3" customWidth="1"/>
    <col min="6658" max="6658" width="9.109375" style="3"/>
    <col min="6659" max="6659" width="9.5546875" style="3" customWidth="1"/>
    <col min="6660" max="6660" width="6" style="3" customWidth="1"/>
    <col min="6661" max="6661" width="6.44140625" style="3" customWidth="1"/>
    <col min="6662" max="6662" width="8.44140625" style="3" customWidth="1"/>
    <col min="6663" max="6663" width="10" style="3" customWidth="1"/>
    <col min="6664" max="6664" width="3" style="3" customWidth="1"/>
    <col min="6665" max="6665" width="20.109375" style="3" customWidth="1"/>
    <col min="6666" max="6666" width="4.44140625" style="3" bestFit="1" customWidth="1"/>
    <col min="6667" max="6667" width="12.6640625" style="3" customWidth="1"/>
    <col min="6668" max="6668" width="5.33203125" style="3" customWidth="1"/>
    <col min="6669" max="6669" width="12.44140625" style="3" customWidth="1"/>
    <col min="6670" max="6670" width="10" style="3" customWidth="1"/>
    <col min="6671" max="6671" width="8.33203125" style="3" customWidth="1"/>
    <col min="6672" max="6673" width="7.33203125" style="3" customWidth="1"/>
    <col min="6674" max="6674" width="9.88671875" style="3" customWidth="1"/>
    <col min="6675" max="6675" width="39.5546875" style="3" customWidth="1"/>
    <col min="6676" max="6912" width="9.109375" style="3"/>
    <col min="6913" max="6913" width="23.44140625" style="3" customWidth="1"/>
    <col min="6914" max="6914" width="9.109375" style="3"/>
    <col min="6915" max="6915" width="9.5546875" style="3" customWidth="1"/>
    <col min="6916" max="6916" width="6" style="3" customWidth="1"/>
    <col min="6917" max="6917" width="6.44140625" style="3" customWidth="1"/>
    <col min="6918" max="6918" width="8.44140625" style="3" customWidth="1"/>
    <col min="6919" max="6919" width="10" style="3" customWidth="1"/>
    <col min="6920" max="6920" width="3" style="3" customWidth="1"/>
    <col min="6921" max="6921" width="20.109375" style="3" customWidth="1"/>
    <col min="6922" max="6922" width="4.44140625" style="3" bestFit="1" customWidth="1"/>
    <col min="6923" max="6923" width="12.6640625" style="3" customWidth="1"/>
    <col min="6924" max="6924" width="5.33203125" style="3" customWidth="1"/>
    <col min="6925" max="6925" width="12.44140625" style="3" customWidth="1"/>
    <col min="6926" max="6926" width="10" style="3" customWidth="1"/>
    <col min="6927" max="6927" width="8.33203125" style="3" customWidth="1"/>
    <col min="6928" max="6929" width="7.33203125" style="3" customWidth="1"/>
    <col min="6930" max="6930" width="9.88671875" style="3" customWidth="1"/>
    <col min="6931" max="6931" width="39.5546875" style="3" customWidth="1"/>
    <col min="6932" max="7168" width="9.109375" style="3"/>
    <col min="7169" max="7169" width="23.44140625" style="3" customWidth="1"/>
    <col min="7170" max="7170" width="9.109375" style="3"/>
    <col min="7171" max="7171" width="9.5546875" style="3" customWidth="1"/>
    <col min="7172" max="7172" width="6" style="3" customWidth="1"/>
    <col min="7173" max="7173" width="6.44140625" style="3" customWidth="1"/>
    <col min="7174" max="7174" width="8.44140625" style="3" customWidth="1"/>
    <col min="7175" max="7175" width="10" style="3" customWidth="1"/>
    <col min="7176" max="7176" width="3" style="3" customWidth="1"/>
    <col min="7177" max="7177" width="20.109375" style="3" customWidth="1"/>
    <col min="7178" max="7178" width="4.44140625" style="3" bestFit="1" customWidth="1"/>
    <col min="7179" max="7179" width="12.6640625" style="3" customWidth="1"/>
    <col min="7180" max="7180" width="5.33203125" style="3" customWidth="1"/>
    <col min="7181" max="7181" width="12.44140625" style="3" customWidth="1"/>
    <col min="7182" max="7182" width="10" style="3" customWidth="1"/>
    <col min="7183" max="7183" width="8.33203125" style="3" customWidth="1"/>
    <col min="7184" max="7185" width="7.33203125" style="3" customWidth="1"/>
    <col min="7186" max="7186" width="9.88671875" style="3" customWidth="1"/>
    <col min="7187" max="7187" width="39.5546875" style="3" customWidth="1"/>
    <col min="7188" max="7424" width="9.109375" style="3"/>
    <col min="7425" max="7425" width="23.44140625" style="3" customWidth="1"/>
    <col min="7426" max="7426" width="9.109375" style="3"/>
    <col min="7427" max="7427" width="9.5546875" style="3" customWidth="1"/>
    <col min="7428" max="7428" width="6" style="3" customWidth="1"/>
    <col min="7429" max="7429" width="6.44140625" style="3" customWidth="1"/>
    <col min="7430" max="7430" width="8.44140625" style="3" customWidth="1"/>
    <col min="7431" max="7431" width="10" style="3" customWidth="1"/>
    <col min="7432" max="7432" width="3" style="3" customWidth="1"/>
    <col min="7433" max="7433" width="20.109375" style="3" customWidth="1"/>
    <col min="7434" max="7434" width="4.44140625" style="3" bestFit="1" customWidth="1"/>
    <col min="7435" max="7435" width="12.6640625" style="3" customWidth="1"/>
    <col min="7436" max="7436" width="5.33203125" style="3" customWidth="1"/>
    <col min="7437" max="7437" width="12.44140625" style="3" customWidth="1"/>
    <col min="7438" max="7438" width="10" style="3" customWidth="1"/>
    <col min="7439" max="7439" width="8.33203125" style="3" customWidth="1"/>
    <col min="7440" max="7441" width="7.33203125" style="3" customWidth="1"/>
    <col min="7442" max="7442" width="9.88671875" style="3" customWidth="1"/>
    <col min="7443" max="7443" width="39.5546875" style="3" customWidth="1"/>
    <col min="7444" max="7680" width="9.109375" style="3"/>
    <col min="7681" max="7681" width="23.44140625" style="3" customWidth="1"/>
    <col min="7682" max="7682" width="9.109375" style="3"/>
    <col min="7683" max="7683" width="9.5546875" style="3" customWidth="1"/>
    <col min="7684" max="7684" width="6" style="3" customWidth="1"/>
    <col min="7685" max="7685" width="6.44140625" style="3" customWidth="1"/>
    <col min="7686" max="7686" width="8.44140625" style="3" customWidth="1"/>
    <col min="7687" max="7687" width="10" style="3" customWidth="1"/>
    <col min="7688" max="7688" width="3" style="3" customWidth="1"/>
    <col min="7689" max="7689" width="20.109375" style="3" customWidth="1"/>
    <col min="7690" max="7690" width="4.44140625" style="3" bestFit="1" customWidth="1"/>
    <col min="7691" max="7691" width="12.6640625" style="3" customWidth="1"/>
    <col min="7692" max="7692" width="5.33203125" style="3" customWidth="1"/>
    <col min="7693" max="7693" width="12.44140625" style="3" customWidth="1"/>
    <col min="7694" max="7694" width="10" style="3" customWidth="1"/>
    <col min="7695" max="7695" width="8.33203125" style="3" customWidth="1"/>
    <col min="7696" max="7697" width="7.33203125" style="3" customWidth="1"/>
    <col min="7698" max="7698" width="9.88671875" style="3" customWidth="1"/>
    <col min="7699" max="7699" width="39.5546875" style="3" customWidth="1"/>
    <col min="7700" max="7936" width="9.109375" style="3"/>
    <col min="7937" max="7937" width="23.44140625" style="3" customWidth="1"/>
    <col min="7938" max="7938" width="9.109375" style="3"/>
    <col min="7939" max="7939" width="9.5546875" style="3" customWidth="1"/>
    <col min="7940" max="7940" width="6" style="3" customWidth="1"/>
    <col min="7941" max="7941" width="6.44140625" style="3" customWidth="1"/>
    <col min="7942" max="7942" width="8.44140625" style="3" customWidth="1"/>
    <col min="7943" max="7943" width="10" style="3" customWidth="1"/>
    <col min="7944" max="7944" width="3" style="3" customWidth="1"/>
    <col min="7945" max="7945" width="20.109375" style="3" customWidth="1"/>
    <col min="7946" max="7946" width="4.44140625" style="3" bestFit="1" customWidth="1"/>
    <col min="7947" max="7947" width="12.6640625" style="3" customWidth="1"/>
    <col min="7948" max="7948" width="5.33203125" style="3" customWidth="1"/>
    <col min="7949" max="7949" width="12.44140625" style="3" customWidth="1"/>
    <col min="7950" max="7950" width="10" style="3" customWidth="1"/>
    <col min="7951" max="7951" width="8.33203125" style="3" customWidth="1"/>
    <col min="7952" max="7953" width="7.33203125" style="3" customWidth="1"/>
    <col min="7954" max="7954" width="9.88671875" style="3" customWidth="1"/>
    <col min="7955" max="7955" width="39.5546875" style="3" customWidth="1"/>
    <col min="7956" max="8192" width="9.109375" style="3"/>
    <col min="8193" max="8193" width="23.44140625" style="3" customWidth="1"/>
    <col min="8194" max="8194" width="9.109375" style="3"/>
    <col min="8195" max="8195" width="9.5546875" style="3" customWidth="1"/>
    <col min="8196" max="8196" width="6" style="3" customWidth="1"/>
    <col min="8197" max="8197" width="6.44140625" style="3" customWidth="1"/>
    <col min="8198" max="8198" width="8.44140625" style="3" customWidth="1"/>
    <col min="8199" max="8199" width="10" style="3" customWidth="1"/>
    <col min="8200" max="8200" width="3" style="3" customWidth="1"/>
    <col min="8201" max="8201" width="20.109375" style="3" customWidth="1"/>
    <col min="8202" max="8202" width="4.44140625" style="3" bestFit="1" customWidth="1"/>
    <col min="8203" max="8203" width="12.6640625" style="3" customWidth="1"/>
    <col min="8204" max="8204" width="5.33203125" style="3" customWidth="1"/>
    <col min="8205" max="8205" width="12.44140625" style="3" customWidth="1"/>
    <col min="8206" max="8206" width="10" style="3" customWidth="1"/>
    <col min="8207" max="8207" width="8.33203125" style="3" customWidth="1"/>
    <col min="8208" max="8209" width="7.33203125" style="3" customWidth="1"/>
    <col min="8210" max="8210" width="9.88671875" style="3" customWidth="1"/>
    <col min="8211" max="8211" width="39.5546875" style="3" customWidth="1"/>
    <col min="8212" max="8448" width="9.109375" style="3"/>
    <col min="8449" max="8449" width="23.44140625" style="3" customWidth="1"/>
    <col min="8450" max="8450" width="9.109375" style="3"/>
    <col min="8451" max="8451" width="9.5546875" style="3" customWidth="1"/>
    <col min="8452" max="8452" width="6" style="3" customWidth="1"/>
    <col min="8453" max="8453" width="6.44140625" style="3" customWidth="1"/>
    <col min="8454" max="8454" width="8.44140625" style="3" customWidth="1"/>
    <col min="8455" max="8455" width="10" style="3" customWidth="1"/>
    <col min="8456" max="8456" width="3" style="3" customWidth="1"/>
    <col min="8457" max="8457" width="20.109375" style="3" customWidth="1"/>
    <col min="8458" max="8458" width="4.44140625" style="3" bestFit="1" customWidth="1"/>
    <col min="8459" max="8459" width="12.6640625" style="3" customWidth="1"/>
    <col min="8460" max="8460" width="5.33203125" style="3" customWidth="1"/>
    <col min="8461" max="8461" width="12.44140625" style="3" customWidth="1"/>
    <col min="8462" max="8462" width="10" style="3" customWidth="1"/>
    <col min="8463" max="8463" width="8.33203125" style="3" customWidth="1"/>
    <col min="8464" max="8465" width="7.33203125" style="3" customWidth="1"/>
    <col min="8466" max="8466" width="9.88671875" style="3" customWidth="1"/>
    <col min="8467" max="8467" width="39.5546875" style="3" customWidth="1"/>
    <col min="8468" max="8704" width="9.109375" style="3"/>
    <col min="8705" max="8705" width="23.44140625" style="3" customWidth="1"/>
    <col min="8706" max="8706" width="9.109375" style="3"/>
    <col min="8707" max="8707" width="9.5546875" style="3" customWidth="1"/>
    <col min="8708" max="8708" width="6" style="3" customWidth="1"/>
    <col min="8709" max="8709" width="6.44140625" style="3" customWidth="1"/>
    <col min="8710" max="8710" width="8.44140625" style="3" customWidth="1"/>
    <col min="8711" max="8711" width="10" style="3" customWidth="1"/>
    <col min="8712" max="8712" width="3" style="3" customWidth="1"/>
    <col min="8713" max="8713" width="20.109375" style="3" customWidth="1"/>
    <col min="8714" max="8714" width="4.44140625" style="3" bestFit="1" customWidth="1"/>
    <col min="8715" max="8715" width="12.6640625" style="3" customWidth="1"/>
    <col min="8716" max="8716" width="5.33203125" style="3" customWidth="1"/>
    <col min="8717" max="8717" width="12.44140625" style="3" customWidth="1"/>
    <col min="8718" max="8718" width="10" style="3" customWidth="1"/>
    <col min="8719" max="8719" width="8.33203125" style="3" customWidth="1"/>
    <col min="8720" max="8721" width="7.33203125" style="3" customWidth="1"/>
    <col min="8722" max="8722" width="9.88671875" style="3" customWidth="1"/>
    <col min="8723" max="8723" width="39.5546875" style="3" customWidth="1"/>
    <col min="8724" max="8960" width="9.109375" style="3"/>
    <col min="8961" max="8961" width="23.44140625" style="3" customWidth="1"/>
    <col min="8962" max="8962" width="9.109375" style="3"/>
    <col min="8963" max="8963" width="9.5546875" style="3" customWidth="1"/>
    <col min="8964" max="8964" width="6" style="3" customWidth="1"/>
    <col min="8965" max="8965" width="6.44140625" style="3" customWidth="1"/>
    <col min="8966" max="8966" width="8.44140625" style="3" customWidth="1"/>
    <col min="8967" max="8967" width="10" style="3" customWidth="1"/>
    <col min="8968" max="8968" width="3" style="3" customWidth="1"/>
    <col min="8969" max="8969" width="20.109375" style="3" customWidth="1"/>
    <col min="8970" max="8970" width="4.44140625" style="3" bestFit="1" customWidth="1"/>
    <col min="8971" max="8971" width="12.6640625" style="3" customWidth="1"/>
    <col min="8972" max="8972" width="5.33203125" style="3" customWidth="1"/>
    <col min="8973" max="8973" width="12.44140625" style="3" customWidth="1"/>
    <col min="8974" max="8974" width="10" style="3" customWidth="1"/>
    <col min="8975" max="8975" width="8.33203125" style="3" customWidth="1"/>
    <col min="8976" max="8977" width="7.33203125" style="3" customWidth="1"/>
    <col min="8978" max="8978" width="9.88671875" style="3" customWidth="1"/>
    <col min="8979" max="8979" width="39.5546875" style="3" customWidth="1"/>
    <col min="8980" max="9216" width="9.109375" style="3"/>
    <col min="9217" max="9217" width="23.44140625" style="3" customWidth="1"/>
    <col min="9218" max="9218" width="9.109375" style="3"/>
    <col min="9219" max="9219" width="9.5546875" style="3" customWidth="1"/>
    <col min="9220" max="9220" width="6" style="3" customWidth="1"/>
    <col min="9221" max="9221" width="6.44140625" style="3" customWidth="1"/>
    <col min="9222" max="9222" width="8.44140625" style="3" customWidth="1"/>
    <col min="9223" max="9223" width="10" style="3" customWidth="1"/>
    <col min="9224" max="9224" width="3" style="3" customWidth="1"/>
    <col min="9225" max="9225" width="20.109375" style="3" customWidth="1"/>
    <col min="9226" max="9226" width="4.44140625" style="3" bestFit="1" customWidth="1"/>
    <col min="9227" max="9227" width="12.6640625" style="3" customWidth="1"/>
    <col min="9228" max="9228" width="5.33203125" style="3" customWidth="1"/>
    <col min="9229" max="9229" width="12.44140625" style="3" customWidth="1"/>
    <col min="9230" max="9230" width="10" style="3" customWidth="1"/>
    <col min="9231" max="9231" width="8.33203125" style="3" customWidth="1"/>
    <col min="9232" max="9233" width="7.33203125" style="3" customWidth="1"/>
    <col min="9234" max="9234" width="9.88671875" style="3" customWidth="1"/>
    <col min="9235" max="9235" width="39.5546875" style="3" customWidth="1"/>
    <col min="9236" max="9472" width="9.109375" style="3"/>
    <col min="9473" max="9473" width="23.44140625" style="3" customWidth="1"/>
    <col min="9474" max="9474" width="9.109375" style="3"/>
    <col min="9475" max="9475" width="9.5546875" style="3" customWidth="1"/>
    <col min="9476" max="9476" width="6" style="3" customWidth="1"/>
    <col min="9477" max="9477" width="6.44140625" style="3" customWidth="1"/>
    <col min="9478" max="9478" width="8.44140625" style="3" customWidth="1"/>
    <col min="9479" max="9479" width="10" style="3" customWidth="1"/>
    <col min="9480" max="9480" width="3" style="3" customWidth="1"/>
    <col min="9481" max="9481" width="20.109375" style="3" customWidth="1"/>
    <col min="9482" max="9482" width="4.44140625" style="3" bestFit="1" customWidth="1"/>
    <col min="9483" max="9483" width="12.6640625" style="3" customWidth="1"/>
    <col min="9484" max="9484" width="5.33203125" style="3" customWidth="1"/>
    <col min="9485" max="9485" width="12.44140625" style="3" customWidth="1"/>
    <col min="9486" max="9486" width="10" style="3" customWidth="1"/>
    <col min="9487" max="9487" width="8.33203125" style="3" customWidth="1"/>
    <col min="9488" max="9489" width="7.33203125" style="3" customWidth="1"/>
    <col min="9490" max="9490" width="9.88671875" style="3" customWidth="1"/>
    <col min="9491" max="9491" width="39.5546875" style="3" customWidth="1"/>
    <col min="9492" max="9728" width="9.109375" style="3"/>
    <col min="9729" max="9729" width="23.44140625" style="3" customWidth="1"/>
    <col min="9730" max="9730" width="9.109375" style="3"/>
    <col min="9731" max="9731" width="9.5546875" style="3" customWidth="1"/>
    <col min="9732" max="9732" width="6" style="3" customWidth="1"/>
    <col min="9733" max="9733" width="6.44140625" style="3" customWidth="1"/>
    <col min="9734" max="9734" width="8.44140625" style="3" customWidth="1"/>
    <col min="9735" max="9735" width="10" style="3" customWidth="1"/>
    <col min="9736" max="9736" width="3" style="3" customWidth="1"/>
    <col min="9737" max="9737" width="20.109375" style="3" customWidth="1"/>
    <col min="9738" max="9738" width="4.44140625" style="3" bestFit="1" customWidth="1"/>
    <col min="9739" max="9739" width="12.6640625" style="3" customWidth="1"/>
    <col min="9740" max="9740" width="5.33203125" style="3" customWidth="1"/>
    <col min="9741" max="9741" width="12.44140625" style="3" customWidth="1"/>
    <col min="9742" max="9742" width="10" style="3" customWidth="1"/>
    <col min="9743" max="9743" width="8.33203125" style="3" customWidth="1"/>
    <col min="9744" max="9745" width="7.33203125" style="3" customWidth="1"/>
    <col min="9746" max="9746" width="9.88671875" style="3" customWidth="1"/>
    <col min="9747" max="9747" width="39.5546875" style="3" customWidth="1"/>
    <col min="9748" max="9984" width="9.109375" style="3"/>
    <col min="9985" max="9985" width="23.44140625" style="3" customWidth="1"/>
    <col min="9986" max="9986" width="9.109375" style="3"/>
    <col min="9987" max="9987" width="9.5546875" style="3" customWidth="1"/>
    <col min="9988" max="9988" width="6" style="3" customWidth="1"/>
    <col min="9989" max="9989" width="6.44140625" style="3" customWidth="1"/>
    <col min="9990" max="9990" width="8.44140625" style="3" customWidth="1"/>
    <col min="9991" max="9991" width="10" style="3" customWidth="1"/>
    <col min="9992" max="9992" width="3" style="3" customWidth="1"/>
    <col min="9993" max="9993" width="20.109375" style="3" customWidth="1"/>
    <col min="9994" max="9994" width="4.44140625" style="3" bestFit="1" customWidth="1"/>
    <col min="9995" max="9995" width="12.6640625" style="3" customWidth="1"/>
    <col min="9996" max="9996" width="5.33203125" style="3" customWidth="1"/>
    <col min="9997" max="9997" width="12.44140625" style="3" customWidth="1"/>
    <col min="9998" max="9998" width="10" style="3" customWidth="1"/>
    <col min="9999" max="9999" width="8.33203125" style="3" customWidth="1"/>
    <col min="10000" max="10001" width="7.33203125" style="3" customWidth="1"/>
    <col min="10002" max="10002" width="9.88671875" style="3" customWidth="1"/>
    <col min="10003" max="10003" width="39.5546875" style="3" customWidth="1"/>
    <col min="10004" max="10240" width="9.109375" style="3"/>
    <col min="10241" max="10241" width="23.44140625" style="3" customWidth="1"/>
    <col min="10242" max="10242" width="9.109375" style="3"/>
    <col min="10243" max="10243" width="9.5546875" style="3" customWidth="1"/>
    <col min="10244" max="10244" width="6" style="3" customWidth="1"/>
    <col min="10245" max="10245" width="6.44140625" style="3" customWidth="1"/>
    <col min="10246" max="10246" width="8.44140625" style="3" customWidth="1"/>
    <col min="10247" max="10247" width="10" style="3" customWidth="1"/>
    <col min="10248" max="10248" width="3" style="3" customWidth="1"/>
    <col min="10249" max="10249" width="20.109375" style="3" customWidth="1"/>
    <col min="10250" max="10250" width="4.44140625" style="3" bestFit="1" customWidth="1"/>
    <col min="10251" max="10251" width="12.6640625" style="3" customWidth="1"/>
    <col min="10252" max="10252" width="5.33203125" style="3" customWidth="1"/>
    <col min="10253" max="10253" width="12.44140625" style="3" customWidth="1"/>
    <col min="10254" max="10254" width="10" style="3" customWidth="1"/>
    <col min="10255" max="10255" width="8.33203125" style="3" customWidth="1"/>
    <col min="10256" max="10257" width="7.33203125" style="3" customWidth="1"/>
    <col min="10258" max="10258" width="9.88671875" style="3" customWidth="1"/>
    <col min="10259" max="10259" width="39.5546875" style="3" customWidth="1"/>
    <col min="10260" max="10496" width="9.109375" style="3"/>
    <col min="10497" max="10497" width="23.44140625" style="3" customWidth="1"/>
    <col min="10498" max="10498" width="9.109375" style="3"/>
    <col min="10499" max="10499" width="9.5546875" style="3" customWidth="1"/>
    <col min="10500" max="10500" width="6" style="3" customWidth="1"/>
    <col min="10501" max="10501" width="6.44140625" style="3" customWidth="1"/>
    <col min="10502" max="10502" width="8.44140625" style="3" customWidth="1"/>
    <col min="10503" max="10503" width="10" style="3" customWidth="1"/>
    <col min="10504" max="10504" width="3" style="3" customWidth="1"/>
    <col min="10505" max="10505" width="20.109375" style="3" customWidth="1"/>
    <col min="10506" max="10506" width="4.44140625" style="3" bestFit="1" customWidth="1"/>
    <col min="10507" max="10507" width="12.6640625" style="3" customWidth="1"/>
    <col min="10508" max="10508" width="5.33203125" style="3" customWidth="1"/>
    <col min="10509" max="10509" width="12.44140625" style="3" customWidth="1"/>
    <col min="10510" max="10510" width="10" style="3" customWidth="1"/>
    <col min="10511" max="10511" width="8.33203125" style="3" customWidth="1"/>
    <col min="10512" max="10513" width="7.33203125" style="3" customWidth="1"/>
    <col min="10514" max="10514" width="9.88671875" style="3" customWidth="1"/>
    <col min="10515" max="10515" width="39.5546875" style="3" customWidth="1"/>
    <col min="10516" max="10752" width="9.109375" style="3"/>
    <col min="10753" max="10753" width="23.44140625" style="3" customWidth="1"/>
    <col min="10754" max="10754" width="9.109375" style="3"/>
    <col min="10755" max="10755" width="9.5546875" style="3" customWidth="1"/>
    <col min="10756" max="10756" width="6" style="3" customWidth="1"/>
    <col min="10757" max="10757" width="6.44140625" style="3" customWidth="1"/>
    <col min="10758" max="10758" width="8.44140625" style="3" customWidth="1"/>
    <col min="10759" max="10759" width="10" style="3" customWidth="1"/>
    <col min="10760" max="10760" width="3" style="3" customWidth="1"/>
    <col min="10761" max="10761" width="20.109375" style="3" customWidth="1"/>
    <col min="10762" max="10762" width="4.44140625" style="3" bestFit="1" customWidth="1"/>
    <col min="10763" max="10763" width="12.6640625" style="3" customWidth="1"/>
    <col min="10764" max="10764" width="5.33203125" style="3" customWidth="1"/>
    <col min="10765" max="10765" width="12.44140625" style="3" customWidth="1"/>
    <col min="10766" max="10766" width="10" style="3" customWidth="1"/>
    <col min="10767" max="10767" width="8.33203125" style="3" customWidth="1"/>
    <col min="10768" max="10769" width="7.33203125" style="3" customWidth="1"/>
    <col min="10770" max="10770" width="9.88671875" style="3" customWidth="1"/>
    <col min="10771" max="10771" width="39.5546875" style="3" customWidth="1"/>
    <col min="10772" max="11008" width="9.109375" style="3"/>
    <col min="11009" max="11009" width="23.44140625" style="3" customWidth="1"/>
    <col min="11010" max="11010" width="9.109375" style="3"/>
    <col min="11011" max="11011" width="9.5546875" style="3" customWidth="1"/>
    <col min="11012" max="11012" width="6" style="3" customWidth="1"/>
    <col min="11013" max="11013" width="6.44140625" style="3" customWidth="1"/>
    <col min="11014" max="11014" width="8.44140625" style="3" customWidth="1"/>
    <col min="11015" max="11015" width="10" style="3" customWidth="1"/>
    <col min="11016" max="11016" width="3" style="3" customWidth="1"/>
    <col min="11017" max="11017" width="20.109375" style="3" customWidth="1"/>
    <col min="11018" max="11018" width="4.44140625" style="3" bestFit="1" customWidth="1"/>
    <col min="11019" max="11019" width="12.6640625" style="3" customWidth="1"/>
    <col min="11020" max="11020" width="5.33203125" style="3" customWidth="1"/>
    <col min="11021" max="11021" width="12.44140625" style="3" customWidth="1"/>
    <col min="11022" max="11022" width="10" style="3" customWidth="1"/>
    <col min="11023" max="11023" width="8.33203125" style="3" customWidth="1"/>
    <col min="11024" max="11025" width="7.33203125" style="3" customWidth="1"/>
    <col min="11026" max="11026" width="9.88671875" style="3" customWidth="1"/>
    <col min="11027" max="11027" width="39.5546875" style="3" customWidth="1"/>
    <col min="11028" max="11264" width="9.109375" style="3"/>
    <col min="11265" max="11265" width="23.44140625" style="3" customWidth="1"/>
    <col min="11266" max="11266" width="9.109375" style="3"/>
    <col min="11267" max="11267" width="9.5546875" style="3" customWidth="1"/>
    <col min="11268" max="11268" width="6" style="3" customWidth="1"/>
    <col min="11269" max="11269" width="6.44140625" style="3" customWidth="1"/>
    <col min="11270" max="11270" width="8.44140625" style="3" customWidth="1"/>
    <col min="11271" max="11271" width="10" style="3" customWidth="1"/>
    <col min="11272" max="11272" width="3" style="3" customWidth="1"/>
    <col min="11273" max="11273" width="20.109375" style="3" customWidth="1"/>
    <col min="11274" max="11274" width="4.44140625" style="3" bestFit="1" customWidth="1"/>
    <col min="11275" max="11275" width="12.6640625" style="3" customWidth="1"/>
    <col min="11276" max="11276" width="5.33203125" style="3" customWidth="1"/>
    <col min="11277" max="11277" width="12.44140625" style="3" customWidth="1"/>
    <col min="11278" max="11278" width="10" style="3" customWidth="1"/>
    <col min="11279" max="11279" width="8.33203125" style="3" customWidth="1"/>
    <col min="11280" max="11281" width="7.33203125" style="3" customWidth="1"/>
    <col min="11282" max="11282" width="9.88671875" style="3" customWidth="1"/>
    <col min="11283" max="11283" width="39.5546875" style="3" customWidth="1"/>
    <col min="11284" max="11520" width="9.109375" style="3"/>
    <col min="11521" max="11521" width="23.44140625" style="3" customWidth="1"/>
    <col min="11522" max="11522" width="9.109375" style="3"/>
    <col min="11523" max="11523" width="9.5546875" style="3" customWidth="1"/>
    <col min="11524" max="11524" width="6" style="3" customWidth="1"/>
    <col min="11525" max="11525" width="6.44140625" style="3" customWidth="1"/>
    <col min="11526" max="11526" width="8.44140625" style="3" customWidth="1"/>
    <col min="11527" max="11527" width="10" style="3" customWidth="1"/>
    <col min="11528" max="11528" width="3" style="3" customWidth="1"/>
    <col min="11529" max="11529" width="20.109375" style="3" customWidth="1"/>
    <col min="11530" max="11530" width="4.44140625" style="3" bestFit="1" customWidth="1"/>
    <col min="11531" max="11531" width="12.6640625" style="3" customWidth="1"/>
    <col min="11532" max="11532" width="5.33203125" style="3" customWidth="1"/>
    <col min="11533" max="11533" width="12.44140625" style="3" customWidth="1"/>
    <col min="11534" max="11534" width="10" style="3" customWidth="1"/>
    <col min="11535" max="11535" width="8.33203125" style="3" customWidth="1"/>
    <col min="11536" max="11537" width="7.33203125" style="3" customWidth="1"/>
    <col min="11538" max="11538" width="9.88671875" style="3" customWidth="1"/>
    <col min="11539" max="11539" width="39.5546875" style="3" customWidth="1"/>
    <col min="11540" max="11776" width="9.109375" style="3"/>
    <col min="11777" max="11777" width="23.44140625" style="3" customWidth="1"/>
    <col min="11778" max="11778" width="9.109375" style="3"/>
    <col min="11779" max="11779" width="9.5546875" style="3" customWidth="1"/>
    <col min="11780" max="11780" width="6" style="3" customWidth="1"/>
    <col min="11781" max="11781" width="6.44140625" style="3" customWidth="1"/>
    <col min="11782" max="11782" width="8.44140625" style="3" customWidth="1"/>
    <col min="11783" max="11783" width="10" style="3" customWidth="1"/>
    <col min="11784" max="11784" width="3" style="3" customWidth="1"/>
    <col min="11785" max="11785" width="20.109375" style="3" customWidth="1"/>
    <col min="11786" max="11786" width="4.44140625" style="3" bestFit="1" customWidth="1"/>
    <col min="11787" max="11787" width="12.6640625" style="3" customWidth="1"/>
    <col min="11788" max="11788" width="5.33203125" style="3" customWidth="1"/>
    <col min="11789" max="11789" width="12.44140625" style="3" customWidth="1"/>
    <col min="11790" max="11790" width="10" style="3" customWidth="1"/>
    <col min="11791" max="11791" width="8.33203125" style="3" customWidth="1"/>
    <col min="11792" max="11793" width="7.33203125" style="3" customWidth="1"/>
    <col min="11794" max="11794" width="9.88671875" style="3" customWidth="1"/>
    <col min="11795" max="11795" width="39.5546875" style="3" customWidth="1"/>
    <col min="11796" max="12032" width="9.109375" style="3"/>
    <col min="12033" max="12033" width="23.44140625" style="3" customWidth="1"/>
    <col min="12034" max="12034" width="9.109375" style="3"/>
    <col min="12035" max="12035" width="9.5546875" style="3" customWidth="1"/>
    <col min="12036" max="12036" width="6" style="3" customWidth="1"/>
    <col min="12037" max="12037" width="6.44140625" style="3" customWidth="1"/>
    <col min="12038" max="12038" width="8.44140625" style="3" customWidth="1"/>
    <col min="12039" max="12039" width="10" style="3" customWidth="1"/>
    <col min="12040" max="12040" width="3" style="3" customWidth="1"/>
    <col min="12041" max="12041" width="20.109375" style="3" customWidth="1"/>
    <col min="12042" max="12042" width="4.44140625" style="3" bestFit="1" customWidth="1"/>
    <col min="12043" max="12043" width="12.6640625" style="3" customWidth="1"/>
    <col min="12044" max="12044" width="5.33203125" style="3" customWidth="1"/>
    <col min="12045" max="12045" width="12.44140625" style="3" customWidth="1"/>
    <col min="12046" max="12046" width="10" style="3" customWidth="1"/>
    <col min="12047" max="12047" width="8.33203125" style="3" customWidth="1"/>
    <col min="12048" max="12049" width="7.33203125" style="3" customWidth="1"/>
    <col min="12050" max="12050" width="9.88671875" style="3" customWidth="1"/>
    <col min="12051" max="12051" width="39.5546875" style="3" customWidth="1"/>
    <col min="12052" max="12288" width="9.109375" style="3"/>
    <col min="12289" max="12289" width="23.44140625" style="3" customWidth="1"/>
    <col min="12290" max="12290" width="9.109375" style="3"/>
    <col min="12291" max="12291" width="9.5546875" style="3" customWidth="1"/>
    <col min="12292" max="12292" width="6" style="3" customWidth="1"/>
    <col min="12293" max="12293" width="6.44140625" style="3" customWidth="1"/>
    <col min="12294" max="12294" width="8.44140625" style="3" customWidth="1"/>
    <col min="12295" max="12295" width="10" style="3" customWidth="1"/>
    <col min="12296" max="12296" width="3" style="3" customWidth="1"/>
    <col min="12297" max="12297" width="20.109375" style="3" customWidth="1"/>
    <col min="12298" max="12298" width="4.44140625" style="3" bestFit="1" customWidth="1"/>
    <col min="12299" max="12299" width="12.6640625" style="3" customWidth="1"/>
    <col min="12300" max="12300" width="5.33203125" style="3" customWidth="1"/>
    <col min="12301" max="12301" width="12.44140625" style="3" customWidth="1"/>
    <col min="12302" max="12302" width="10" style="3" customWidth="1"/>
    <col min="12303" max="12303" width="8.33203125" style="3" customWidth="1"/>
    <col min="12304" max="12305" width="7.33203125" style="3" customWidth="1"/>
    <col min="12306" max="12306" width="9.88671875" style="3" customWidth="1"/>
    <col min="12307" max="12307" width="39.5546875" style="3" customWidth="1"/>
    <col min="12308" max="12544" width="9.109375" style="3"/>
    <col min="12545" max="12545" width="23.44140625" style="3" customWidth="1"/>
    <col min="12546" max="12546" width="9.109375" style="3"/>
    <col min="12547" max="12547" width="9.5546875" style="3" customWidth="1"/>
    <col min="12548" max="12548" width="6" style="3" customWidth="1"/>
    <col min="12549" max="12549" width="6.44140625" style="3" customWidth="1"/>
    <col min="12550" max="12550" width="8.44140625" style="3" customWidth="1"/>
    <col min="12551" max="12551" width="10" style="3" customWidth="1"/>
    <col min="12552" max="12552" width="3" style="3" customWidth="1"/>
    <col min="12553" max="12553" width="20.109375" style="3" customWidth="1"/>
    <col min="12554" max="12554" width="4.44140625" style="3" bestFit="1" customWidth="1"/>
    <col min="12555" max="12555" width="12.6640625" style="3" customWidth="1"/>
    <col min="12556" max="12556" width="5.33203125" style="3" customWidth="1"/>
    <col min="12557" max="12557" width="12.44140625" style="3" customWidth="1"/>
    <col min="12558" max="12558" width="10" style="3" customWidth="1"/>
    <col min="12559" max="12559" width="8.33203125" style="3" customWidth="1"/>
    <col min="12560" max="12561" width="7.33203125" style="3" customWidth="1"/>
    <col min="12562" max="12562" width="9.88671875" style="3" customWidth="1"/>
    <col min="12563" max="12563" width="39.5546875" style="3" customWidth="1"/>
    <col min="12564" max="12800" width="9.109375" style="3"/>
    <col min="12801" max="12801" width="23.44140625" style="3" customWidth="1"/>
    <col min="12802" max="12802" width="9.109375" style="3"/>
    <col min="12803" max="12803" width="9.5546875" style="3" customWidth="1"/>
    <col min="12804" max="12804" width="6" style="3" customWidth="1"/>
    <col min="12805" max="12805" width="6.44140625" style="3" customWidth="1"/>
    <col min="12806" max="12806" width="8.44140625" style="3" customWidth="1"/>
    <col min="12807" max="12807" width="10" style="3" customWidth="1"/>
    <col min="12808" max="12808" width="3" style="3" customWidth="1"/>
    <col min="12809" max="12809" width="20.109375" style="3" customWidth="1"/>
    <col min="12810" max="12810" width="4.44140625" style="3" bestFit="1" customWidth="1"/>
    <col min="12811" max="12811" width="12.6640625" style="3" customWidth="1"/>
    <col min="12812" max="12812" width="5.33203125" style="3" customWidth="1"/>
    <col min="12813" max="12813" width="12.44140625" style="3" customWidth="1"/>
    <col min="12814" max="12814" width="10" style="3" customWidth="1"/>
    <col min="12815" max="12815" width="8.33203125" style="3" customWidth="1"/>
    <col min="12816" max="12817" width="7.33203125" style="3" customWidth="1"/>
    <col min="12818" max="12818" width="9.88671875" style="3" customWidth="1"/>
    <col min="12819" max="12819" width="39.5546875" style="3" customWidth="1"/>
    <col min="12820" max="13056" width="9.109375" style="3"/>
    <col min="13057" max="13057" width="23.44140625" style="3" customWidth="1"/>
    <col min="13058" max="13058" width="9.109375" style="3"/>
    <col min="13059" max="13059" width="9.5546875" style="3" customWidth="1"/>
    <col min="13060" max="13060" width="6" style="3" customWidth="1"/>
    <col min="13061" max="13061" width="6.44140625" style="3" customWidth="1"/>
    <col min="13062" max="13062" width="8.44140625" style="3" customWidth="1"/>
    <col min="13063" max="13063" width="10" style="3" customWidth="1"/>
    <col min="13064" max="13064" width="3" style="3" customWidth="1"/>
    <col min="13065" max="13065" width="20.109375" style="3" customWidth="1"/>
    <col min="13066" max="13066" width="4.44140625" style="3" bestFit="1" customWidth="1"/>
    <col min="13067" max="13067" width="12.6640625" style="3" customWidth="1"/>
    <col min="13068" max="13068" width="5.33203125" style="3" customWidth="1"/>
    <col min="13069" max="13069" width="12.44140625" style="3" customWidth="1"/>
    <col min="13070" max="13070" width="10" style="3" customWidth="1"/>
    <col min="13071" max="13071" width="8.33203125" style="3" customWidth="1"/>
    <col min="13072" max="13073" width="7.33203125" style="3" customWidth="1"/>
    <col min="13074" max="13074" width="9.88671875" style="3" customWidth="1"/>
    <col min="13075" max="13075" width="39.5546875" style="3" customWidth="1"/>
    <col min="13076" max="13312" width="9.109375" style="3"/>
    <col min="13313" max="13313" width="23.44140625" style="3" customWidth="1"/>
    <col min="13314" max="13314" width="9.109375" style="3"/>
    <col min="13315" max="13315" width="9.5546875" style="3" customWidth="1"/>
    <col min="13316" max="13316" width="6" style="3" customWidth="1"/>
    <col min="13317" max="13317" width="6.44140625" style="3" customWidth="1"/>
    <col min="13318" max="13318" width="8.44140625" style="3" customWidth="1"/>
    <col min="13319" max="13319" width="10" style="3" customWidth="1"/>
    <col min="13320" max="13320" width="3" style="3" customWidth="1"/>
    <col min="13321" max="13321" width="20.109375" style="3" customWidth="1"/>
    <col min="13322" max="13322" width="4.44140625" style="3" bestFit="1" customWidth="1"/>
    <col min="13323" max="13323" width="12.6640625" style="3" customWidth="1"/>
    <col min="13324" max="13324" width="5.33203125" style="3" customWidth="1"/>
    <col min="13325" max="13325" width="12.44140625" style="3" customWidth="1"/>
    <col min="13326" max="13326" width="10" style="3" customWidth="1"/>
    <col min="13327" max="13327" width="8.33203125" style="3" customWidth="1"/>
    <col min="13328" max="13329" width="7.33203125" style="3" customWidth="1"/>
    <col min="13330" max="13330" width="9.88671875" style="3" customWidth="1"/>
    <col min="13331" max="13331" width="39.5546875" style="3" customWidth="1"/>
    <col min="13332" max="13568" width="9.109375" style="3"/>
    <col min="13569" max="13569" width="23.44140625" style="3" customWidth="1"/>
    <col min="13570" max="13570" width="9.109375" style="3"/>
    <col min="13571" max="13571" width="9.5546875" style="3" customWidth="1"/>
    <col min="13572" max="13572" width="6" style="3" customWidth="1"/>
    <col min="13573" max="13573" width="6.44140625" style="3" customWidth="1"/>
    <col min="13574" max="13574" width="8.44140625" style="3" customWidth="1"/>
    <col min="13575" max="13575" width="10" style="3" customWidth="1"/>
    <col min="13576" max="13576" width="3" style="3" customWidth="1"/>
    <col min="13577" max="13577" width="20.109375" style="3" customWidth="1"/>
    <col min="13578" max="13578" width="4.44140625" style="3" bestFit="1" customWidth="1"/>
    <col min="13579" max="13579" width="12.6640625" style="3" customWidth="1"/>
    <col min="13580" max="13580" width="5.33203125" style="3" customWidth="1"/>
    <col min="13581" max="13581" width="12.44140625" style="3" customWidth="1"/>
    <col min="13582" max="13582" width="10" style="3" customWidth="1"/>
    <col min="13583" max="13583" width="8.33203125" style="3" customWidth="1"/>
    <col min="13584" max="13585" width="7.33203125" style="3" customWidth="1"/>
    <col min="13586" max="13586" width="9.88671875" style="3" customWidth="1"/>
    <col min="13587" max="13587" width="39.5546875" style="3" customWidth="1"/>
    <col min="13588" max="13824" width="9.109375" style="3"/>
    <col min="13825" max="13825" width="23.44140625" style="3" customWidth="1"/>
    <col min="13826" max="13826" width="9.109375" style="3"/>
    <col min="13827" max="13827" width="9.5546875" style="3" customWidth="1"/>
    <col min="13828" max="13828" width="6" style="3" customWidth="1"/>
    <col min="13829" max="13829" width="6.44140625" style="3" customWidth="1"/>
    <col min="13830" max="13830" width="8.44140625" style="3" customWidth="1"/>
    <col min="13831" max="13831" width="10" style="3" customWidth="1"/>
    <col min="13832" max="13832" width="3" style="3" customWidth="1"/>
    <col min="13833" max="13833" width="20.109375" style="3" customWidth="1"/>
    <col min="13834" max="13834" width="4.44140625" style="3" bestFit="1" customWidth="1"/>
    <col min="13835" max="13835" width="12.6640625" style="3" customWidth="1"/>
    <col min="13836" max="13836" width="5.33203125" style="3" customWidth="1"/>
    <col min="13837" max="13837" width="12.44140625" style="3" customWidth="1"/>
    <col min="13838" max="13838" width="10" style="3" customWidth="1"/>
    <col min="13839" max="13839" width="8.33203125" style="3" customWidth="1"/>
    <col min="13840" max="13841" width="7.33203125" style="3" customWidth="1"/>
    <col min="13842" max="13842" width="9.88671875" style="3" customWidth="1"/>
    <col min="13843" max="13843" width="39.5546875" style="3" customWidth="1"/>
    <col min="13844" max="14080" width="9.109375" style="3"/>
    <col min="14081" max="14081" width="23.44140625" style="3" customWidth="1"/>
    <col min="14082" max="14082" width="9.109375" style="3"/>
    <col min="14083" max="14083" width="9.5546875" style="3" customWidth="1"/>
    <col min="14084" max="14084" width="6" style="3" customWidth="1"/>
    <col min="14085" max="14085" width="6.44140625" style="3" customWidth="1"/>
    <col min="14086" max="14086" width="8.44140625" style="3" customWidth="1"/>
    <col min="14087" max="14087" width="10" style="3" customWidth="1"/>
    <col min="14088" max="14088" width="3" style="3" customWidth="1"/>
    <col min="14089" max="14089" width="20.109375" style="3" customWidth="1"/>
    <col min="14090" max="14090" width="4.44140625" style="3" bestFit="1" customWidth="1"/>
    <col min="14091" max="14091" width="12.6640625" style="3" customWidth="1"/>
    <col min="14092" max="14092" width="5.33203125" style="3" customWidth="1"/>
    <col min="14093" max="14093" width="12.44140625" style="3" customWidth="1"/>
    <col min="14094" max="14094" width="10" style="3" customWidth="1"/>
    <col min="14095" max="14095" width="8.33203125" style="3" customWidth="1"/>
    <col min="14096" max="14097" width="7.33203125" style="3" customWidth="1"/>
    <col min="14098" max="14098" width="9.88671875" style="3" customWidth="1"/>
    <col min="14099" max="14099" width="39.5546875" style="3" customWidth="1"/>
    <col min="14100" max="14336" width="9.109375" style="3"/>
    <col min="14337" max="14337" width="23.44140625" style="3" customWidth="1"/>
    <col min="14338" max="14338" width="9.109375" style="3"/>
    <col min="14339" max="14339" width="9.5546875" style="3" customWidth="1"/>
    <col min="14340" max="14340" width="6" style="3" customWidth="1"/>
    <col min="14341" max="14341" width="6.44140625" style="3" customWidth="1"/>
    <col min="14342" max="14342" width="8.44140625" style="3" customWidth="1"/>
    <col min="14343" max="14343" width="10" style="3" customWidth="1"/>
    <col min="14344" max="14344" width="3" style="3" customWidth="1"/>
    <col min="14345" max="14345" width="20.109375" style="3" customWidth="1"/>
    <col min="14346" max="14346" width="4.44140625" style="3" bestFit="1" customWidth="1"/>
    <col min="14347" max="14347" width="12.6640625" style="3" customWidth="1"/>
    <col min="14348" max="14348" width="5.33203125" style="3" customWidth="1"/>
    <col min="14349" max="14349" width="12.44140625" style="3" customWidth="1"/>
    <col min="14350" max="14350" width="10" style="3" customWidth="1"/>
    <col min="14351" max="14351" width="8.33203125" style="3" customWidth="1"/>
    <col min="14352" max="14353" width="7.33203125" style="3" customWidth="1"/>
    <col min="14354" max="14354" width="9.88671875" style="3" customWidth="1"/>
    <col min="14355" max="14355" width="39.5546875" style="3" customWidth="1"/>
    <col min="14356" max="14592" width="9.109375" style="3"/>
    <col min="14593" max="14593" width="23.44140625" style="3" customWidth="1"/>
    <col min="14594" max="14594" width="9.109375" style="3"/>
    <col min="14595" max="14595" width="9.5546875" style="3" customWidth="1"/>
    <col min="14596" max="14596" width="6" style="3" customWidth="1"/>
    <col min="14597" max="14597" width="6.44140625" style="3" customWidth="1"/>
    <col min="14598" max="14598" width="8.44140625" style="3" customWidth="1"/>
    <col min="14599" max="14599" width="10" style="3" customWidth="1"/>
    <col min="14600" max="14600" width="3" style="3" customWidth="1"/>
    <col min="14601" max="14601" width="20.109375" style="3" customWidth="1"/>
    <col min="14602" max="14602" width="4.44140625" style="3" bestFit="1" customWidth="1"/>
    <col min="14603" max="14603" width="12.6640625" style="3" customWidth="1"/>
    <col min="14604" max="14604" width="5.33203125" style="3" customWidth="1"/>
    <col min="14605" max="14605" width="12.44140625" style="3" customWidth="1"/>
    <col min="14606" max="14606" width="10" style="3" customWidth="1"/>
    <col min="14607" max="14607" width="8.33203125" style="3" customWidth="1"/>
    <col min="14608" max="14609" width="7.33203125" style="3" customWidth="1"/>
    <col min="14610" max="14610" width="9.88671875" style="3" customWidth="1"/>
    <col min="14611" max="14611" width="39.5546875" style="3" customWidth="1"/>
    <col min="14612" max="14848" width="9.109375" style="3"/>
    <col min="14849" max="14849" width="23.44140625" style="3" customWidth="1"/>
    <col min="14850" max="14850" width="9.109375" style="3"/>
    <col min="14851" max="14851" width="9.5546875" style="3" customWidth="1"/>
    <col min="14852" max="14852" width="6" style="3" customWidth="1"/>
    <col min="14853" max="14853" width="6.44140625" style="3" customWidth="1"/>
    <col min="14854" max="14854" width="8.44140625" style="3" customWidth="1"/>
    <col min="14855" max="14855" width="10" style="3" customWidth="1"/>
    <col min="14856" max="14856" width="3" style="3" customWidth="1"/>
    <col min="14857" max="14857" width="20.109375" style="3" customWidth="1"/>
    <col min="14858" max="14858" width="4.44140625" style="3" bestFit="1" customWidth="1"/>
    <col min="14859" max="14859" width="12.6640625" style="3" customWidth="1"/>
    <col min="14860" max="14860" width="5.33203125" style="3" customWidth="1"/>
    <col min="14861" max="14861" width="12.44140625" style="3" customWidth="1"/>
    <col min="14862" max="14862" width="10" style="3" customWidth="1"/>
    <col min="14863" max="14863" width="8.33203125" style="3" customWidth="1"/>
    <col min="14864" max="14865" width="7.33203125" style="3" customWidth="1"/>
    <col min="14866" max="14866" width="9.88671875" style="3" customWidth="1"/>
    <col min="14867" max="14867" width="39.5546875" style="3" customWidth="1"/>
    <col min="14868" max="15104" width="9.109375" style="3"/>
    <col min="15105" max="15105" width="23.44140625" style="3" customWidth="1"/>
    <col min="15106" max="15106" width="9.109375" style="3"/>
    <col min="15107" max="15107" width="9.5546875" style="3" customWidth="1"/>
    <col min="15108" max="15108" width="6" style="3" customWidth="1"/>
    <col min="15109" max="15109" width="6.44140625" style="3" customWidth="1"/>
    <col min="15110" max="15110" width="8.44140625" style="3" customWidth="1"/>
    <col min="15111" max="15111" width="10" style="3" customWidth="1"/>
    <col min="15112" max="15112" width="3" style="3" customWidth="1"/>
    <col min="15113" max="15113" width="20.109375" style="3" customWidth="1"/>
    <col min="15114" max="15114" width="4.44140625" style="3" bestFit="1" customWidth="1"/>
    <col min="15115" max="15115" width="12.6640625" style="3" customWidth="1"/>
    <col min="15116" max="15116" width="5.33203125" style="3" customWidth="1"/>
    <col min="15117" max="15117" width="12.44140625" style="3" customWidth="1"/>
    <col min="15118" max="15118" width="10" style="3" customWidth="1"/>
    <col min="15119" max="15119" width="8.33203125" style="3" customWidth="1"/>
    <col min="15120" max="15121" width="7.33203125" style="3" customWidth="1"/>
    <col min="15122" max="15122" width="9.88671875" style="3" customWidth="1"/>
    <col min="15123" max="15123" width="39.5546875" style="3" customWidth="1"/>
    <col min="15124" max="15360" width="9.109375" style="3"/>
    <col min="15361" max="15361" width="23.44140625" style="3" customWidth="1"/>
    <col min="15362" max="15362" width="9.109375" style="3"/>
    <col min="15363" max="15363" width="9.5546875" style="3" customWidth="1"/>
    <col min="15364" max="15364" width="6" style="3" customWidth="1"/>
    <col min="15365" max="15365" width="6.44140625" style="3" customWidth="1"/>
    <col min="15366" max="15366" width="8.44140625" style="3" customWidth="1"/>
    <col min="15367" max="15367" width="10" style="3" customWidth="1"/>
    <col min="15368" max="15368" width="3" style="3" customWidth="1"/>
    <col min="15369" max="15369" width="20.109375" style="3" customWidth="1"/>
    <col min="15370" max="15370" width="4.44140625" style="3" bestFit="1" customWidth="1"/>
    <col min="15371" max="15371" width="12.6640625" style="3" customWidth="1"/>
    <col min="15372" max="15372" width="5.33203125" style="3" customWidth="1"/>
    <col min="15373" max="15373" width="12.44140625" style="3" customWidth="1"/>
    <col min="15374" max="15374" width="10" style="3" customWidth="1"/>
    <col min="15375" max="15375" width="8.33203125" style="3" customWidth="1"/>
    <col min="15376" max="15377" width="7.33203125" style="3" customWidth="1"/>
    <col min="15378" max="15378" width="9.88671875" style="3" customWidth="1"/>
    <col min="15379" max="15379" width="39.5546875" style="3" customWidth="1"/>
    <col min="15380" max="15616" width="9.109375" style="3"/>
    <col min="15617" max="15617" width="23.44140625" style="3" customWidth="1"/>
    <col min="15618" max="15618" width="9.109375" style="3"/>
    <col min="15619" max="15619" width="9.5546875" style="3" customWidth="1"/>
    <col min="15620" max="15620" width="6" style="3" customWidth="1"/>
    <col min="15621" max="15621" width="6.44140625" style="3" customWidth="1"/>
    <col min="15622" max="15622" width="8.44140625" style="3" customWidth="1"/>
    <col min="15623" max="15623" width="10" style="3" customWidth="1"/>
    <col min="15624" max="15624" width="3" style="3" customWidth="1"/>
    <col min="15625" max="15625" width="20.109375" style="3" customWidth="1"/>
    <col min="15626" max="15626" width="4.44140625" style="3" bestFit="1" customWidth="1"/>
    <col min="15627" max="15627" width="12.6640625" style="3" customWidth="1"/>
    <col min="15628" max="15628" width="5.33203125" style="3" customWidth="1"/>
    <col min="15629" max="15629" width="12.44140625" style="3" customWidth="1"/>
    <col min="15630" max="15630" width="10" style="3" customWidth="1"/>
    <col min="15631" max="15631" width="8.33203125" style="3" customWidth="1"/>
    <col min="15632" max="15633" width="7.33203125" style="3" customWidth="1"/>
    <col min="15634" max="15634" width="9.88671875" style="3" customWidth="1"/>
    <col min="15635" max="15635" width="39.5546875" style="3" customWidth="1"/>
    <col min="15636" max="15872" width="9.109375" style="3"/>
    <col min="15873" max="15873" width="23.44140625" style="3" customWidth="1"/>
    <col min="15874" max="15874" width="9.109375" style="3"/>
    <col min="15875" max="15875" width="9.5546875" style="3" customWidth="1"/>
    <col min="15876" max="15876" width="6" style="3" customWidth="1"/>
    <col min="15877" max="15877" width="6.44140625" style="3" customWidth="1"/>
    <col min="15878" max="15878" width="8.44140625" style="3" customWidth="1"/>
    <col min="15879" max="15879" width="10" style="3" customWidth="1"/>
    <col min="15880" max="15880" width="3" style="3" customWidth="1"/>
    <col min="15881" max="15881" width="20.109375" style="3" customWidth="1"/>
    <col min="15882" max="15882" width="4.44140625" style="3" bestFit="1" customWidth="1"/>
    <col min="15883" max="15883" width="12.6640625" style="3" customWidth="1"/>
    <col min="15884" max="15884" width="5.33203125" style="3" customWidth="1"/>
    <col min="15885" max="15885" width="12.44140625" style="3" customWidth="1"/>
    <col min="15886" max="15886" width="10" style="3" customWidth="1"/>
    <col min="15887" max="15887" width="8.33203125" style="3" customWidth="1"/>
    <col min="15888" max="15889" width="7.33203125" style="3" customWidth="1"/>
    <col min="15890" max="15890" width="9.88671875" style="3" customWidth="1"/>
    <col min="15891" max="15891" width="39.5546875" style="3" customWidth="1"/>
    <col min="15892" max="16128" width="9.109375" style="3"/>
    <col min="16129" max="16129" width="23.44140625" style="3" customWidth="1"/>
    <col min="16130" max="16130" width="9.109375" style="3"/>
    <col min="16131" max="16131" width="9.5546875" style="3" customWidth="1"/>
    <col min="16132" max="16132" width="6" style="3" customWidth="1"/>
    <col min="16133" max="16133" width="6.44140625" style="3" customWidth="1"/>
    <col min="16134" max="16134" width="8.44140625" style="3" customWidth="1"/>
    <col min="16135" max="16135" width="10" style="3" customWidth="1"/>
    <col min="16136" max="16136" width="3" style="3" customWidth="1"/>
    <col min="16137" max="16137" width="20.109375" style="3" customWidth="1"/>
    <col min="16138" max="16138" width="4.44140625" style="3" bestFit="1" customWidth="1"/>
    <col min="16139" max="16139" width="12.6640625" style="3" customWidth="1"/>
    <col min="16140" max="16140" width="5.33203125" style="3" customWidth="1"/>
    <col min="16141" max="16141" width="12.44140625" style="3" customWidth="1"/>
    <col min="16142" max="16142" width="10" style="3" customWidth="1"/>
    <col min="16143" max="16143" width="8.33203125" style="3" customWidth="1"/>
    <col min="16144" max="16145" width="7.33203125" style="3" customWidth="1"/>
    <col min="16146" max="16146" width="9.88671875" style="3" customWidth="1"/>
    <col min="16147" max="16147" width="39.5546875" style="3" customWidth="1"/>
    <col min="16148" max="16384" width="9.109375" style="3"/>
  </cols>
  <sheetData>
    <row r="1" spans="1:19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</row>
    <row r="2" spans="1:19" x14ac:dyDescent="0.3">
      <c r="A2" s="2"/>
      <c r="B2" s="2"/>
      <c r="C2" s="2"/>
      <c r="D2" s="2"/>
      <c r="E2" s="2"/>
      <c r="F2" s="2"/>
      <c r="G2" s="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5" thickBot="1" x14ac:dyDescent="0.35">
      <c r="A3" s="5" t="s">
        <v>1</v>
      </c>
      <c r="B3" s="2"/>
      <c r="C3" s="2"/>
      <c r="D3" s="2"/>
      <c r="E3" s="2"/>
      <c r="F3" s="2"/>
      <c r="G3" s="2"/>
      <c r="H3" s="4"/>
      <c r="I3" s="6" t="s">
        <v>2</v>
      </c>
      <c r="J3" s="6"/>
      <c r="K3" s="7" t="s">
        <v>3</v>
      </c>
      <c r="L3" s="4"/>
      <c r="M3" s="7" t="s">
        <v>4</v>
      </c>
      <c r="N3" s="4"/>
      <c r="O3" s="4"/>
      <c r="P3" s="4"/>
      <c r="Q3" s="4"/>
      <c r="R3" s="4"/>
      <c r="S3" s="4"/>
    </row>
    <row r="4" spans="1:19" ht="15" thickBot="1" x14ac:dyDescent="0.35">
      <c r="A4" s="2" t="s">
        <v>5</v>
      </c>
      <c r="B4" s="8">
        <v>200</v>
      </c>
      <c r="C4" s="9" t="s">
        <v>6</v>
      </c>
      <c r="D4" s="2"/>
      <c r="E4" s="2"/>
      <c r="F4" s="2"/>
      <c r="G4" s="2"/>
      <c r="H4" s="4"/>
      <c r="I4" s="4"/>
      <c r="J4" s="10" t="s">
        <v>7</v>
      </c>
      <c r="K4" s="11">
        <v>0</v>
      </c>
      <c r="L4" s="12" t="s">
        <v>8</v>
      </c>
      <c r="M4" s="11">
        <v>0</v>
      </c>
      <c r="N4" s="12" t="s">
        <v>9</v>
      </c>
      <c r="O4" s="4"/>
      <c r="P4" s="4"/>
      <c r="Q4" s="4"/>
      <c r="R4" s="4"/>
      <c r="S4" s="4"/>
    </row>
    <row r="5" spans="1:19" ht="15" thickBot="1" x14ac:dyDescent="0.35">
      <c r="A5" s="2" t="s">
        <v>3</v>
      </c>
      <c r="B5" s="8">
        <v>330</v>
      </c>
      <c r="C5" s="9" t="s">
        <v>8</v>
      </c>
      <c r="D5" s="2"/>
      <c r="E5" s="2"/>
      <c r="F5" s="2"/>
      <c r="G5" s="2"/>
      <c r="H5" s="4"/>
      <c r="I5" s="4"/>
      <c r="J5" s="10" t="s">
        <v>10</v>
      </c>
      <c r="K5" s="11">
        <v>400</v>
      </c>
      <c r="L5" s="12" t="s">
        <v>8</v>
      </c>
      <c r="M5" s="11">
        <v>30</v>
      </c>
      <c r="N5" s="12" t="s">
        <v>9</v>
      </c>
      <c r="O5" s="4"/>
      <c r="P5" s="4"/>
      <c r="Q5" s="4"/>
      <c r="R5" s="4"/>
      <c r="S5" s="4"/>
    </row>
    <row r="6" spans="1:19" ht="15" thickBot="1" x14ac:dyDescent="0.35">
      <c r="A6" s="2" t="s">
        <v>4</v>
      </c>
      <c r="B6" s="8">
        <v>25</v>
      </c>
      <c r="C6" s="9" t="s">
        <v>9</v>
      </c>
      <c r="D6" s="2"/>
      <c r="E6" s="2"/>
      <c r="F6" s="2"/>
      <c r="G6" s="2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3">
      <c r="A7" s="2"/>
      <c r="B7" s="2"/>
      <c r="C7" s="2"/>
      <c r="D7" s="2"/>
      <c r="E7" s="2"/>
      <c r="F7" s="2"/>
      <c r="G7" s="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3">
      <c r="A8" s="2" t="s">
        <v>11</v>
      </c>
      <c r="B8" s="2"/>
      <c r="C8" s="2"/>
      <c r="D8" s="2"/>
      <c r="E8" s="2"/>
      <c r="F8" s="2"/>
      <c r="G8" s="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x14ac:dyDescent="0.3">
      <c r="A9" s="2"/>
      <c r="B9" s="2"/>
      <c r="C9" s="2"/>
      <c r="D9" s="2"/>
      <c r="E9" s="2"/>
      <c r="F9" s="2"/>
      <c r="G9" s="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ht="15" thickBot="1" x14ac:dyDescent="0.35">
      <c r="A10" s="2"/>
      <c r="B10" s="2"/>
      <c r="C10" s="2"/>
      <c r="D10" s="2"/>
      <c r="E10" s="2"/>
      <c r="F10" s="2"/>
      <c r="G10" s="2"/>
      <c r="H10" s="4"/>
      <c r="I10" s="13" t="s">
        <v>12</v>
      </c>
      <c r="J10" s="14"/>
      <c r="K10" s="13" t="s">
        <v>13</v>
      </c>
      <c r="L10" s="14"/>
      <c r="M10" s="13" t="s">
        <v>14</v>
      </c>
      <c r="N10" s="4"/>
      <c r="O10" s="4"/>
      <c r="P10" s="4"/>
      <c r="Q10" s="4"/>
      <c r="R10" s="4"/>
      <c r="S10" s="4"/>
    </row>
    <row r="11" spans="1:19" ht="15" thickBot="1" x14ac:dyDescent="0.35">
      <c r="A11" s="2"/>
      <c r="B11" s="2"/>
      <c r="C11" s="2"/>
      <c r="D11" s="2"/>
      <c r="E11" s="2"/>
      <c r="F11" s="2"/>
      <c r="G11" s="2"/>
      <c r="H11" s="4"/>
      <c r="I11" s="15">
        <v>200</v>
      </c>
      <c r="J11" s="4"/>
      <c r="K11" s="16">
        <v>300</v>
      </c>
      <c r="L11" s="4" t="s">
        <v>8</v>
      </c>
      <c r="M11" s="16">
        <v>1</v>
      </c>
      <c r="N11" s="4" t="s">
        <v>9</v>
      </c>
      <c r="O11" s="4"/>
      <c r="P11" s="4"/>
      <c r="Q11" s="4"/>
      <c r="R11" s="4"/>
      <c r="S11" s="4"/>
    </row>
    <row r="12" spans="1:19" x14ac:dyDescent="0.3">
      <c r="A12" s="2"/>
      <c r="B12" s="2"/>
      <c r="C12" s="2"/>
      <c r="D12" s="2"/>
      <c r="E12" s="2"/>
      <c r="F12" s="2"/>
      <c r="G12" s="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3">
      <c r="A13" s="2" t="s">
        <v>15</v>
      </c>
      <c r="B13" s="2"/>
      <c r="C13" s="2"/>
      <c r="D13" s="2"/>
      <c r="E13" s="2"/>
      <c r="F13" s="2"/>
      <c r="G13" s="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">
      <c r="A14" s="2" t="s">
        <v>16</v>
      </c>
      <c r="B14" s="2"/>
      <c r="C14" s="2"/>
      <c r="D14" s="2"/>
      <c r="E14" s="2"/>
      <c r="F14" s="2"/>
      <c r="G14" s="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x14ac:dyDescent="0.3">
      <c r="A15" s="2" t="s">
        <v>17</v>
      </c>
      <c r="B15" s="2"/>
      <c r="C15" s="2"/>
      <c r="D15" s="2"/>
      <c r="E15" s="2"/>
      <c r="F15" s="2"/>
      <c r="G15" s="2"/>
      <c r="H15" s="4"/>
      <c r="I15" s="4"/>
      <c r="J15" s="4"/>
      <c r="K15" s="4"/>
      <c r="L15" s="4"/>
      <c r="M15" s="4"/>
      <c r="N15" s="4"/>
      <c r="O15" s="17">
        <f>I11</f>
        <v>200</v>
      </c>
      <c r="P15" s="18">
        <f>E56</f>
        <v>23.493478804071003</v>
      </c>
      <c r="Q15" s="18">
        <f>F56</f>
        <v>6.9558782543511485E-2</v>
      </c>
      <c r="R15" s="19">
        <f>(M11*10000)/M5</f>
        <v>333.33333333333331</v>
      </c>
      <c r="S15" s="4"/>
    </row>
    <row r="16" spans="1:19" x14ac:dyDescent="0.3">
      <c r="A16" s="2" t="s">
        <v>18</v>
      </c>
      <c r="B16" s="2"/>
      <c r="C16" s="2"/>
      <c r="D16" s="2"/>
      <c r="E16" s="2"/>
      <c r="F16" s="2"/>
      <c r="G16" s="2"/>
      <c r="H16" s="4"/>
      <c r="I16" s="4"/>
      <c r="J16" s="4"/>
      <c r="K16" s="4"/>
      <c r="L16" s="4"/>
      <c r="M16" s="4"/>
      <c r="N16" s="4"/>
      <c r="O16" s="20"/>
      <c r="P16" s="21">
        <f>E57</f>
        <v>273.14999999999998</v>
      </c>
      <c r="Q16" s="17">
        <f>F57</f>
        <v>0.04</v>
      </c>
      <c r="R16" s="19">
        <f>(K11*10000)/K5</f>
        <v>7500</v>
      </c>
      <c r="S16" s="4"/>
    </row>
    <row r="17" spans="1:19" x14ac:dyDescent="0.3">
      <c r="A17" s="2" t="s">
        <v>19</v>
      </c>
      <c r="B17" s="2"/>
      <c r="C17" s="2"/>
      <c r="D17" s="2"/>
      <c r="E17" s="2"/>
      <c r="F17" s="2"/>
      <c r="G17" s="2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3">
      <c r="A18" s="2" t="s">
        <v>20</v>
      </c>
      <c r="B18" s="2"/>
      <c r="C18" s="2"/>
      <c r="D18" s="2"/>
      <c r="E18" s="2"/>
      <c r="F18" s="2"/>
      <c r="G18" s="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5.6" x14ac:dyDescent="0.3">
      <c r="A19" s="2" t="s">
        <v>21</v>
      </c>
      <c r="B19" s="2"/>
      <c r="C19" s="2"/>
      <c r="D19" s="2"/>
      <c r="E19" s="2"/>
      <c r="F19" s="2"/>
      <c r="G19" s="2"/>
      <c r="H19" s="4"/>
      <c r="I19" s="4"/>
      <c r="J19" s="4"/>
      <c r="K19" s="4"/>
      <c r="L19" s="4"/>
      <c r="M19" s="4"/>
      <c r="N19" s="22" t="s">
        <v>22</v>
      </c>
      <c r="O19" s="17">
        <f>O15</f>
        <v>200</v>
      </c>
      <c r="P19" s="20">
        <f>P15+(Q15*R15)</f>
        <v>46.679739651908164</v>
      </c>
      <c r="Q19" s="4"/>
      <c r="R19" s="4"/>
      <c r="S19" s="4"/>
    </row>
    <row r="20" spans="1:19" ht="15" thickBot="1" x14ac:dyDescent="0.35">
      <c r="A20" s="2" t="s">
        <v>23</v>
      </c>
      <c r="B20" s="2"/>
      <c r="C20" s="2"/>
      <c r="D20" s="2"/>
      <c r="E20" s="2"/>
      <c r="F20" s="2"/>
      <c r="G20" s="2"/>
      <c r="H20" s="4"/>
      <c r="I20" s="4"/>
      <c r="J20" s="4"/>
      <c r="K20" s="4"/>
      <c r="L20" s="4"/>
      <c r="M20" s="4"/>
      <c r="N20" s="4"/>
      <c r="O20" s="17"/>
      <c r="P20" s="20">
        <f>P16+(Q16*R16)</f>
        <v>573.15</v>
      </c>
      <c r="Q20" s="4"/>
      <c r="R20" s="4"/>
      <c r="S20" s="4"/>
    </row>
    <row r="21" spans="1:19" ht="15" thickBot="1" x14ac:dyDescent="0.35">
      <c r="A21" s="2"/>
      <c r="B21" s="2"/>
      <c r="C21" s="2"/>
      <c r="D21" s="2"/>
      <c r="E21" s="2"/>
      <c r="F21" s="2"/>
      <c r="G21" s="2"/>
      <c r="H21" s="4"/>
      <c r="I21" s="4"/>
      <c r="J21" s="4"/>
      <c r="K21" s="23">
        <f>O24</f>
        <v>57.076858272734633</v>
      </c>
      <c r="L21" s="4"/>
      <c r="M21" s="4"/>
      <c r="N21" s="4"/>
      <c r="O21" s="4"/>
      <c r="P21" s="4"/>
      <c r="Q21" s="4"/>
      <c r="R21" s="4"/>
      <c r="S21" s="4"/>
    </row>
    <row r="22" spans="1:19" ht="16.2" thickBot="1" x14ac:dyDescent="0.35">
      <c r="A22" s="2"/>
      <c r="B22" s="2"/>
      <c r="C22" s="24" t="s">
        <v>24</v>
      </c>
      <c r="D22" s="25">
        <f>(B5+273.15)/(B6+1.01325)</f>
        <v>23.186260847837161</v>
      </c>
      <c r="E22" s="26"/>
      <c r="F22" s="26"/>
      <c r="G22" s="26"/>
      <c r="H22" s="17"/>
      <c r="I22" s="4"/>
      <c r="J22" s="27" t="s">
        <v>25</v>
      </c>
      <c r="K22" s="27"/>
      <c r="L22" s="27"/>
      <c r="M22" s="4"/>
      <c r="N22" s="22" t="s">
        <v>22</v>
      </c>
      <c r="O22" s="17">
        <f>O19</f>
        <v>200</v>
      </c>
      <c r="P22" s="20">
        <f>SQRT(P19/P20)</f>
        <v>0.28538429136367316</v>
      </c>
      <c r="Q22" s="4"/>
      <c r="R22" s="4"/>
      <c r="S22" s="4"/>
    </row>
    <row r="23" spans="1:19" x14ac:dyDescent="0.3">
      <c r="A23" s="2"/>
      <c r="B23" s="2"/>
      <c r="C23" s="2"/>
      <c r="D23" s="2"/>
      <c r="E23" s="2"/>
      <c r="F23" s="2"/>
      <c r="G23" s="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5.6" x14ac:dyDescent="0.3">
      <c r="A24" s="2" t="s">
        <v>26</v>
      </c>
      <c r="B24" s="2"/>
      <c r="C24" s="2"/>
      <c r="D24" s="2"/>
      <c r="E24" s="2"/>
      <c r="F24" s="2"/>
      <c r="G24" s="2"/>
      <c r="H24" s="4"/>
      <c r="I24" s="4"/>
      <c r="J24" s="4"/>
      <c r="K24" s="4"/>
      <c r="L24" s="4"/>
      <c r="M24" s="4"/>
      <c r="N24" s="22" t="s">
        <v>22</v>
      </c>
      <c r="O24" s="20">
        <f>O22*P22</f>
        <v>57.076858272734633</v>
      </c>
      <c r="P24" s="4"/>
      <c r="Q24" s="4"/>
      <c r="R24" s="4"/>
      <c r="S24" s="4"/>
    </row>
    <row r="25" spans="1:19" x14ac:dyDescent="0.3">
      <c r="A25" s="2" t="s">
        <v>27</v>
      </c>
      <c r="B25" s="2"/>
      <c r="C25" s="2"/>
      <c r="D25" s="2"/>
      <c r="E25" s="2"/>
      <c r="F25" s="2"/>
      <c r="G25" s="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3">
      <c r="A26" s="2" t="s">
        <v>28</v>
      </c>
      <c r="B26" s="2"/>
      <c r="C26" s="2"/>
      <c r="D26" s="2"/>
      <c r="E26" s="2"/>
      <c r="F26" s="2"/>
      <c r="G26" s="2"/>
      <c r="H26" s="4"/>
      <c r="I26" s="4"/>
      <c r="J26" s="28" t="s">
        <v>29</v>
      </c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3">
      <c r="A27" s="2"/>
      <c r="B27" s="2"/>
      <c r="C27" s="2"/>
      <c r="D27" s="2"/>
      <c r="E27" s="2"/>
      <c r="F27" s="2"/>
      <c r="G27" s="2"/>
      <c r="H27" s="4"/>
      <c r="I27" s="4"/>
      <c r="J27" s="28" t="s">
        <v>30</v>
      </c>
      <c r="K27" s="4"/>
      <c r="L27" s="4"/>
      <c r="M27" s="4"/>
      <c r="N27" s="4"/>
      <c r="O27" s="4"/>
      <c r="P27" s="4"/>
      <c r="Q27" s="4"/>
      <c r="R27" s="4"/>
      <c r="S27" s="4"/>
    </row>
    <row r="28" spans="1:19" x14ac:dyDescent="0.3">
      <c r="A28" s="2"/>
      <c r="B28" s="2"/>
      <c r="C28" s="2"/>
      <c r="D28" s="29" t="s">
        <v>31</v>
      </c>
      <c r="E28" s="2"/>
      <c r="F28" s="2"/>
      <c r="G28" s="2"/>
      <c r="H28" s="4"/>
      <c r="I28" s="4"/>
      <c r="J28" s="28" t="s">
        <v>32</v>
      </c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3">
      <c r="A29" s="2"/>
      <c r="B29" s="2"/>
      <c r="C29" s="2"/>
      <c r="D29" s="2"/>
      <c r="E29" s="2"/>
      <c r="F29" s="2"/>
      <c r="G29" s="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ht="15.6" x14ac:dyDescent="0.35">
      <c r="A30" s="2" t="s">
        <v>33</v>
      </c>
      <c r="B30" s="2"/>
      <c r="C30" s="2"/>
      <c r="D30" s="2"/>
      <c r="E30" s="2"/>
      <c r="F30" s="2"/>
      <c r="G30" s="2"/>
      <c r="H30" s="4"/>
      <c r="I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3">
      <c r="A31" s="2" t="s">
        <v>34</v>
      </c>
      <c r="B31" s="2"/>
      <c r="C31" s="2"/>
      <c r="D31" s="2"/>
      <c r="E31" s="2"/>
      <c r="F31" s="2"/>
      <c r="G31" s="2"/>
      <c r="H31" s="4"/>
      <c r="I31" s="4"/>
      <c r="K31" s="4"/>
      <c r="L31" s="4"/>
      <c r="M31" s="4"/>
      <c r="N31" s="4"/>
      <c r="O31" s="4"/>
      <c r="P31" s="4"/>
      <c r="Q31" s="4"/>
      <c r="R31" s="4"/>
      <c r="S31" s="4"/>
    </row>
    <row r="32" spans="1:19" ht="21.75" customHeight="1" x14ac:dyDescent="0.35">
      <c r="A32" s="30" t="s">
        <v>35</v>
      </c>
      <c r="B32" s="2"/>
      <c r="C32" s="2"/>
      <c r="D32" s="2"/>
      <c r="E32" s="2"/>
      <c r="F32" s="2"/>
      <c r="G32" s="2"/>
      <c r="H32" s="4"/>
      <c r="I32" s="4"/>
      <c r="K32" s="4"/>
      <c r="L32" s="4"/>
      <c r="M32" s="4"/>
      <c r="N32" s="4"/>
      <c r="O32" s="4"/>
      <c r="P32" s="4"/>
      <c r="Q32" s="4"/>
      <c r="R32" s="4"/>
      <c r="S32" s="4"/>
    </row>
    <row r="33" spans="1:19" ht="16.5" customHeight="1" x14ac:dyDescent="0.3">
      <c r="A33" s="2"/>
      <c r="B33" s="2"/>
      <c r="C33" s="26">
        <f>(M5-M4)</f>
        <v>30</v>
      </c>
      <c r="D33" s="2"/>
      <c r="E33" s="2"/>
      <c r="F33" s="2"/>
      <c r="G33" s="2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ht="12" customHeight="1" x14ac:dyDescent="0.3">
      <c r="A34" s="2" t="s">
        <v>36</v>
      </c>
      <c r="B34" s="31">
        <f>M4+1.01325</f>
        <v>1.01325</v>
      </c>
      <c r="C34" s="2"/>
      <c r="D34" s="2"/>
      <c r="E34" s="32">
        <f>B34</f>
        <v>1.01325</v>
      </c>
      <c r="F34" s="32">
        <f>C33/10000</f>
        <v>3.0000000000000001E-3</v>
      </c>
      <c r="G34" s="32"/>
      <c r="H34" s="20"/>
      <c r="I34" s="4"/>
      <c r="J34" s="4"/>
      <c r="L34" s="4"/>
      <c r="M34" s="4"/>
      <c r="N34" s="4"/>
      <c r="O34" s="4"/>
      <c r="P34" s="4"/>
      <c r="Q34" s="4"/>
      <c r="R34" s="4"/>
      <c r="S34" s="4"/>
    </row>
    <row r="35" spans="1:19" x14ac:dyDescent="0.3">
      <c r="A35" s="2"/>
      <c r="B35" s="2"/>
      <c r="C35" s="2"/>
      <c r="D35" s="2"/>
      <c r="E35" s="2"/>
      <c r="F35" s="2"/>
      <c r="G35" s="2"/>
      <c r="H35" s="4"/>
      <c r="I35" s="4"/>
      <c r="J35" s="4"/>
      <c r="K35" s="4"/>
      <c r="L35" s="4"/>
      <c r="M35" s="4"/>
      <c r="N35" s="4"/>
      <c r="O35" s="33" t="s">
        <v>37</v>
      </c>
      <c r="P35" s="34">
        <f>F56</f>
        <v>6.9558782543511485E-2</v>
      </c>
      <c r="Q35" s="4"/>
      <c r="R35" s="4"/>
      <c r="S35" s="4"/>
    </row>
    <row r="36" spans="1:19" x14ac:dyDescent="0.3">
      <c r="A36" s="2"/>
      <c r="B36" s="2"/>
      <c r="C36" s="2"/>
      <c r="D36" s="2"/>
      <c r="E36" s="2"/>
      <c r="F36" s="2"/>
      <c r="G36" s="2"/>
      <c r="H36" s="4"/>
      <c r="I36" s="4"/>
      <c r="J36" s="4"/>
      <c r="K36" s="4"/>
      <c r="L36" s="4"/>
      <c r="M36" s="4"/>
      <c r="N36" s="4"/>
      <c r="O36" s="4"/>
      <c r="P36" s="20"/>
      <c r="Q36" s="4"/>
      <c r="R36" s="4"/>
      <c r="S36" s="4"/>
    </row>
    <row r="37" spans="1:19" x14ac:dyDescent="0.3">
      <c r="A37" s="2"/>
      <c r="B37" s="2"/>
      <c r="C37" s="2"/>
      <c r="D37" s="2"/>
      <c r="E37" s="2"/>
      <c r="F37" s="2"/>
      <c r="G37" s="2"/>
      <c r="H37" s="4"/>
      <c r="I37" s="4"/>
      <c r="J37" s="4"/>
      <c r="K37" s="4"/>
      <c r="L37" s="4"/>
      <c r="M37" s="4"/>
      <c r="N37" s="4"/>
      <c r="O37" s="33" t="s">
        <v>38</v>
      </c>
      <c r="P37" s="35">
        <f>F57</f>
        <v>0.04</v>
      </c>
      <c r="Q37" s="4"/>
      <c r="R37" s="4"/>
      <c r="S37" s="4"/>
    </row>
    <row r="38" spans="1:19" x14ac:dyDescent="0.3">
      <c r="A38" s="2" t="s">
        <v>39</v>
      </c>
      <c r="B38" s="2"/>
      <c r="C38" s="2"/>
      <c r="D38" s="29" t="s">
        <v>31</v>
      </c>
      <c r="E38" s="2"/>
      <c r="F38" s="2"/>
      <c r="G38" s="2"/>
      <c r="H38" s="4"/>
      <c r="I38" s="4"/>
      <c r="J38" s="4"/>
      <c r="K38" s="4"/>
      <c r="L38" s="4"/>
      <c r="M38" s="4"/>
      <c r="N38" s="4"/>
      <c r="O38" s="4"/>
      <c r="P38" s="20"/>
      <c r="Q38" s="4"/>
      <c r="R38" s="4"/>
      <c r="S38" s="4"/>
    </row>
    <row r="39" spans="1:19" x14ac:dyDescent="0.3">
      <c r="A39" s="2"/>
      <c r="B39" s="2"/>
      <c r="C39" s="2"/>
      <c r="D39" s="2"/>
      <c r="E39" s="2"/>
      <c r="F39" s="2"/>
      <c r="G39" s="2"/>
      <c r="H39" s="4"/>
      <c r="I39" s="4"/>
      <c r="J39" s="4"/>
      <c r="K39" s="4"/>
      <c r="L39" s="4"/>
      <c r="M39" s="4"/>
      <c r="N39" s="4"/>
      <c r="O39" s="33" t="s">
        <v>40</v>
      </c>
      <c r="P39" s="34">
        <f>E56</f>
        <v>23.493478804071003</v>
      </c>
      <c r="Q39" s="4"/>
      <c r="R39" s="4"/>
      <c r="S39" s="4"/>
    </row>
    <row r="40" spans="1:19" x14ac:dyDescent="0.3">
      <c r="A40" s="2"/>
      <c r="B40" s="2"/>
      <c r="C40" s="2"/>
      <c r="D40" s="2"/>
      <c r="E40" s="2"/>
      <c r="F40" s="2"/>
      <c r="G40" s="2"/>
      <c r="H40" s="4"/>
      <c r="I40" s="4"/>
      <c r="J40" s="4"/>
      <c r="K40" s="4"/>
      <c r="L40" s="4"/>
      <c r="M40" s="4"/>
      <c r="N40" s="4"/>
      <c r="O40" s="4"/>
      <c r="P40" s="20"/>
      <c r="Q40" s="4"/>
      <c r="R40" s="4"/>
      <c r="S40" s="4"/>
    </row>
    <row r="41" spans="1:19" ht="15.6" x14ac:dyDescent="0.35">
      <c r="A41" s="2" t="s">
        <v>41</v>
      </c>
      <c r="B41" s="2"/>
      <c r="C41" s="2"/>
      <c r="D41" s="2"/>
      <c r="E41" s="2"/>
      <c r="F41" s="2"/>
      <c r="G41" s="2"/>
      <c r="H41" s="4"/>
      <c r="I41" s="4"/>
      <c r="J41" s="4"/>
      <c r="K41" s="4"/>
      <c r="L41" s="4"/>
      <c r="M41" s="4"/>
      <c r="N41" s="4"/>
      <c r="O41" s="33" t="s">
        <v>42</v>
      </c>
      <c r="P41" s="36">
        <f>E57</f>
        <v>273.14999999999998</v>
      </c>
      <c r="Q41" s="4"/>
      <c r="R41" s="4"/>
      <c r="S41" s="4"/>
    </row>
    <row r="42" spans="1:19" x14ac:dyDescent="0.3">
      <c r="A42" s="2" t="s">
        <v>43</v>
      </c>
      <c r="B42" s="2"/>
      <c r="C42" s="2"/>
      <c r="D42" s="2"/>
      <c r="E42" s="2"/>
      <c r="F42" s="2"/>
      <c r="G42" s="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ht="15.6" x14ac:dyDescent="0.35">
      <c r="A43" s="30" t="s">
        <v>44</v>
      </c>
      <c r="B43" s="2"/>
      <c r="C43" s="2"/>
      <c r="D43" s="2"/>
      <c r="E43" s="2"/>
      <c r="F43" s="2"/>
      <c r="G43" s="2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x14ac:dyDescent="0.3">
      <c r="A44" s="2"/>
      <c r="B44" s="2"/>
      <c r="C44" s="26">
        <f>(K5-K4)</f>
        <v>400</v>
      </c>
      <c r="D44" s="2"/>
      <c r="E44" s="2"/>
      <c r="F44" s="2"/>
      <c r="G44" s="2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 ht="12" customHeight="1" x14ac:dyDescent="0.3">
      <c r="A45" s="2" t="s">
        <v>36</v>
      </c>
      <c r="B45" s="32">
        <f>K4+273.15</f>
        <v>273.14999999999998</v>
      </c>
      <c r="C45" s="2"/>
      <c r="D45" s="2"/>
      <c r="E45" s="32">
        <f>B45</f>
        <v>273.14999999999998</v>
      </c>
      <c r="F45" s="32">
        <f>C44/10000</f>
        <v>0.04</v>
      </c>
      <c r="G45" s="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 x14ac:dyDescent="0.3">
      <c r="A46" s="2"/>
      <c r="B46" s="2"/>
      <c r="C46" s="2"/>
      <c r="D46" s="2"/>
      <c r="E46" s="2"/>
      <c r="F46" s="2"/>
      <c r="G46" s="2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 x14ac:dyDescent="0.3">
      <c r="A47" s="2"/>
      <c r="B47" s="2"/>
      <c r="C47" s="2"/>
      <c r="D47" s="2"/>
      <c r="E47" s="2"/>
      <c r="F47" s="2"/>
      <c r="G47" s="2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 x14ac:dyDescent="0.3">
      <c r="A48" s="2" t="s">
        <v>45</v>
      </c>
      <c r="B48" s="2"/>
      <c r="C48" s="2"/>
      <c r="D48" s="2"/>
      <c r="E48" s="2"/>
      <c r="F48" s="2"/>
      <c r="G48" s="2"/>
      <c r="H48" s="4"/>
      <c r="I48" s="4"/>
      <c r="J48" s="4"/>
      <c r="L48" s="4"/>
      <c r="M48" s="4"/>
      <c r="N48" s="4"/>
      <c r="O48" s="4"/>
      <c r="P48" s="4"/>
      <c r="Q48" s="4"/>
      <c r="R48" s="4"/>
      <c r="S48" s="4"/>
    </row>
    <row r="49" spans="1:19" x14ac:dyDescent="0.3">
      <c r="A49" s="2"/>
      <c r="B49" s="2"/>
      <c r="C49" s="2"/>
      <c r="D49" s="2"/>
      <c r="E49" s="2"/>
      <c r="F49" s="2"/>
      <c r="G49" s="2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x14ac:dyDescent="0.3">
      <c r="A50" s="2"/>
      <c r="B50" s="2"/>
      <c r="C50" s="2"/>
      <c r="D50" s="2"/>
      <c r="E50" s="37">
        <f>E34</f>
        <v>1.01325</v>
      </c>
      <c r="F50" s="26">
        <f>F34</f>
        <v>3.0000000000000001E-3</v>
      </c>
      <c r="G50" s="38">
        <f>D22</f>
        <v>23.186260847837161</v>
      </c>
      <c r="H50" s="1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x14ac:dyDescent="0.3">
      <c r="A51" s="2"/>
      <c r="B51" s="2"/>
      <c r="C51" s="2"/>
      <c r="D51" s="2"/>
      <c r="E51" s="37">
        <f>E45</f>
        <v>273.14999999999998</v>
      </c>
      <c r="F51" s="26">
        <f>F45</f>
        <v>0.04</v>
      </c>
      <c r="G51" s="2"/>
      <c r="H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x14ac:dyDescent="0.3">
      <c r="A52" s="2"/>
      <c r="B52" s="2"/>
      <c r="C52" s="2"/>
      <c r="D52" s="2"/>
      <c r="E52" s="2"/>
      <c r="F52" s="2"/>
      <c r="G52" s="2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x14ac:dyDescent="0.3">
      <c r="A53" s="2"/>
      <c r="B53" s="2"/>
      <c r="C53" s="2"/>
      <c r="D53" s="2"/>
      <c r="E53" s="2"/>
      <c r="F53" s="2"/>
      <c r="G53" s="2"/>
      <c r="H53" s="4"/>
      <c r="I53" s="4"/>
      <c r="K53" s="4"/>
      <c r="L53" s="4"/>
      <c r="M53" s="4"/>
      <c r="N53" s="4"/>
      <c r="O53" s="4"/>
      <c r="P53" s="4"/>
      <c r="Q53" s="4"/>
      <c r="R53" s="4"/>
      <c r="S53" s="4"/>
    </row>
    <row r="54" spans="1:19" x14ac:dyDescent="0.3">
      <c r="A54" s="2" t="s">
        <v>46</v>
      </c>
      <c r="B54" s="2"/>
      <c r="C54" s="2"/>
      <c r="D54" s="2"/>
      <c r="E54" s="2"/>
      <c r="F54" s="2"/>
      <c r="G54" s="2"/>
      <c r="H54" s="4"/>
      <c r="I54" s="4"/>
      <c r="J54" s="4"/>
      <c r="L54" s="4"/>
      <c r="M54" s="4"/>
      <c r="N54" s="4"/>
      <c r="O54" s="4"/>
      <c r="P54" s="4"/>
      <c r="Q54" s="4"/>
      <c r="R54" s="4"/>
      <c r="S54" s="4"/>
    </row>
    <row r="55" spans="1:19" x14ac:dyDescent="0.3">
      <c r="A55" s="2"/>
      <c r="B55" s="2"/>
      <c r="C55" s="2"/>
      <c r="D55" s="2"/>
      <c r="E55" s="2"/>
      <c r="F55" s="2"/>
      <c r="G55" s="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x14ac:dyDescent="0.3">
      <c r="A56" s="2"/>
      <c r="B56" s="2"/>
      <c r="C56" s="2"/>
      <c r="D56" s="2"/>
      <c r="E56" s="31">
        <f>E50*G50</f>
        <v>23.493478804071003</v>
      </c>
      <c r="F56" s="39">
        <f>F50*G50</f>
        <v>6.9558782543511485E-2</v>
      </c>
      <c r="G56" s="2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x14ac:dyDescent="0.3">
      <c r="A57" s="2"/>
      <c r="B57" s="2"/>
      <c r="C57" s="2"/>
      <c r="D57" s="2"/>
      <c r="E57" s="40">
        <f>E51</f>
        <v>273.14999999999998</v>
      </c>
      <c r="F57" s="26">
        <f>F51</f>
        <v>0.04</v>
      </c>
      <c r="G57" s="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x14ac:dyDescent="0.3">
      <c r="A58" s="2"/>
      <c r="B58" s="2"/>
      <c r="C58" s="2"/>
      <c r="D58" s="2"/>
      <c r="E58" s="2"/>
      <c r="F58" s="2"/>
      <c r="G58" s="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 x14ac:dyDescent="0.3">
      <c r="A59" s="2"/>
      <c r="B59" s="2"/>
      <c r="C59" s="2"/>
      <c r="D59" s="2"/>
      <c r="E59" s="2"/>
      <c r="F59" s="2"/>
      <c r="G59" s="2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x14ac:dyDescent="0.3">
      <c r="A60" s="2"/>
      <c r="B60" s="2"/>
      <c r="C60" s="2"/>
      <c r="D60" s="2"/>
      <c r="E60" s="2"/>
      <c r="F60" s="2"/>
      <c r="G60" s="2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x14ac:dyDescent="0.3">
      <c r="A61" s="2"/>
      <c r="B61" s="2"/>
      <c r="C61" s="2"/>
      <c r="D61" s="2"/>
      <c r="E61" s="2"/>
      <c r="F61" s="2"/>
      <c r="G61" s="2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x14ac:dyDescent="0.3">
      <c r="A62" s="2"/>
      <c r="B62" s="2"/>
      <c r="C62" s="2"/>
      <c r="D62" s="2"/>
      <c r="E62" s="2"/>
      <c r="F62" s="2"/>
      <c r="G62" s="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x14ac:dyDescent="0.3">
      <c r="A63" s="2"/>
      <c r="B63" s="2"/>
      <c r="C63" s="2"/>
      <c r="D63" s="2"/>
      <c r="E63" s="2"/>
      <c r="F63" s="2"/>
      <c r="G63" s="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</sheetData>
  <mergeCells count="3">
    <mergeCell ref="A1:O1"/>
    <mergeCell ref="I3:J3"/>
    <mergeCell ref="J22:L22"/>
  </mergeCell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0</xdr:col>
                <xdr:colOff>891540</xdr:colOff>
                <xdr:row>8</xdr:row>
                <xdr:rowOff>121920</xdr:rowOff>
              </from>
              <to>
                <xdr:col>3</xdr:col>
                <xdr:colOff>312420</xdr:colOff>
                <xdr:row>10</xdr:row>
                <xdr:rowOff>198120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7">
            <anchor moveWithCells="1" sizeWithCells="1">
              <from>
                <xdr:col>0</xdr:col>
                <xdr:colOff>982980</xdr:colOff>
                <xdr:row>20</xdr:row>
                <xdr:rowOff>121920</xdr:rowOff>
              </from>
              <to>
                <xdr:col>2</xdr:col>
                <xdr:colOff>586740</xdr:colOff>
                <xdr:row>22</xdr:row>
                <xdr:rowOff>167640</xdr:rowOff>
              </to>
            </anchor>
          </objectPr>
        </oleObject>
      </mc:Choice>
      <mc:Fallback>
        <oleObject progId="Equation.3" shapeId="1026" r:id="rId6"/>
      </mc:Fallback>
    </mc:AlternateContent>
    <mc:AlternateContent xmlns:mc="http://schemas.openxmlformats.org/markup-compatibility/2006">
      <mc:Choice Requires="x14">
        <oleObject progId="Equation.3" shapeId="1027" r:id="rId8">
          <objectPr defaultSize="0" autoPict="0" r:id="rId9">
            <anchor moveWithCells="1" sizeWithCells="1">
              <from>
                <xdr:col>0</xdr:col>
                <xdr:colOff>1333500</xdr:colOff>
                <xdr:row>48</xdr:row>
                <xdr:rowOff>190500</xdr:rowOff>
              </from>
              <to>
                <xdr:col>6</xdr:col>
                <xdr:colOff>259080</xdr:colOff>
                <xdr:row>51</xdr:row>
                <xdr:rowOff>38100</xdr:rowOff>
              </to>
            </anchor>
          </objectPr>
        </oleObject>
      </mc:Choice>
      <mc:Fallback>
        <oleObject progId="Equation.3" shapeId="1027" r:id="rId8"/>
      </mc:Fallback>
    </mc:AlternateContent>
    <mc:AlternateContent xmlns:mc="http://schemas.openxmlformats.org/markup-compatibility/2006">
      <mc:Choice Requires="x14">
        <oleObject progId="Equation.3" shapeId="1028" r:id="rId10">
          <objectPr defaultSize="0" autoPict="0" r:id="rId11">
            <anchor moveWithCells="1" sizeWithCells="1">
              <from>
                <xdr:col>2</xdr:col>
                <xdr:colOff>449580</xdr:colOff>
                <xdr:row>54</xdr:row>
                <xdr:rowOff>190500</xdr:rowOff>
              </from>
              <to>
                <xdr:col>6</xdr:col>
                <xdr:colOff>228600</xdr:colOff>
                <xdr:row>57</xdr:row>
                <xdr:rowOff>60960</xdr:rowOff>
              </to>
            </anchor>
          </objectPr>
        </oleObject>
      </mc:Choice>
      <mc:Fallback>
        <oleObject progId="Equation.3" shapeId="1028" r:id="rId10"/>
      </mc:Fallback>
    </mc:AlternateContent>
    <mc:AlternateContent xmlns:mc="http://schemas.openxmlformats.org/markup-compatibility/2006">
      <mc:Choice Requires="x14">
        <oleObject progId="Equation.3" shapeId="1029" r:id="rId12">
          <objectPr defaultSize="0" autoPict="0" r:id="rId13">
            <anchor moveWithCells="1" sizeWithCells="1">
              <from>
                <xdr:col>13</xdr:col>
                <xdr:colOff>487680</xdr:colOff>
                <xdr:row>13</xdr:row>
                <xdr:rowOff>160020</xdr:rowOff>
              </from>
              <to>
                <xdr:col>17</xdr:col>
                <xdr:colOff>60960</xdr:colOff>
                <xdr:row>16</xdr:row>
                <xdr:rowOff>22860</xdr:rowOff>
              </to>
            </anchor>
          </objectPr>
        </oleObject>
      </mc:Choice>
      <mc:Fallback>
        <oleObject progId="Equation.3" shapeId="1029" r:id="rId12"/>
      </mc:Fallback>
    </mc:AlternateContent>
    <mc:AlternateContent xmlns:mc="http://schemas.openxmlformats.org/markup-compatibility/2006">
      <mc:Choice Requires="x14">
        <oleObject progId="Equation.3" shapeId="1030" r:id="rId14">
          <objectPr defaultSize="0" autoPict="0" r:id="rId15">
            <anchor moveWithCells="1" sizeWithCells="1">
              <from>
                <xdr:col>1</xdr:col>
                <xdr:colOff>1950720</xdr:colOff>
                <xdr:row>43</xdr:row>
                <xdr:rowOff>106680</xdr:rowOff>
              </from>
              <to>
                <xdr:col>6</xdr:col>
                <xdr:colOff>525780</xdr:colOff>
                <xdr:row>45</xdr:row>
                <xdr:rowOff>160020</xdr:rowOff>
              </to>
            </anchor>
          </objectPr>
        </oleObject>
      </mc:Choice>
      <mc:Fallback>
        <oleObject progId="Equation.3" shapeId="1030" r:id="rId14"/>
      </mc:Fallback>
    </mc:AlternateContent>
    <mc:AlternateContent xmlns:mc="http://schemas.openxmlformats.org/markup-compatibility/2006">
      <mc:Choice Requires="x14">
        <oleObject progId="Equation.3" shapeId="1031" r:id="rId16">
          <objectPr defaultSize="0" autoPict="0" r:id="rId17">
            <anchor moveWithCells="1" sizeWithCells="1">
              <from>
                <xdr:col>1</xdr:col>
                <xdr:colOff>1996440</xdr:colOff>
                <xdr:row>32</xdr:row>
                <xdr:rowOff>144780</xdr:rowOff>
              </from>
              <to>
                <xdr:col>6</xdr:col>
                <xdr:colOff>541020</xdr:colOff>
                <xdr:row>34</xdr:row>
                <xdr:rowOff>167640</xdr:rowOff>
              </to>
            </anchor>
          </objectPr>
        </oleObject>
      </mc:Choice>
      <mc:Fallback>
        <oleObject progId="Equation.3" shapeId="1031" r:id="rId1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PTC-LC700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Morais</dc:creator>
  <cp:lastModifiedBy>Josué Silva de Morais</cp:lastModifiedBy>
  <dcterms:created xsi:type="dcterms:W3CDTF">2015-06-05T18:17:20Z</dcterms:created>
  <dcterms:modified xsi:type="dcterms:W3CDTF">2026-06-01T14:15:30Z</dcterms:modified>
</cp:coreProperties>
</file>